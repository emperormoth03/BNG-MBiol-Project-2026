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joh5692_ox_ac_uk/Documents/4th Year/RBiolWork/RBiol/"/>
    </mc:Choice>
  </mc:AlternateContent>
  <xr:revisionPtr revIDLastSave="833" documentId="8_{F60FA025-DE01-554A-90E6-3D9C3BE5E42C}" xr6:coauthVersionLast="47" xr6:coauthVersionMax="47" xr10:uidLastSave="{FA7E3739-843F-B64C-84E2-26E5B7A6C505}"/>
  <bookViews>
    <workbookView xWindow="0" yWindow="760" windowWidth="29400" windowHeight="16800" firstSheet="6" activeTab="10" xr2:uid="{2241B721-B980-714B-8AFF-CE7B2A8D9D31}"/>
  </bookViews>
  <sheets>
    <sheet name="MasterPitfall" sheetId="1" r:id="rId1"/>
    <sheet name="MasterHedge" sheetId="15" r:id="rId2"/>
    <sheet name="PitfallOrders" sheetId="2" r:id="rId3"/>
    <sheet name="PitfallFamilies" sheetId="3" r:id="rId4"/>
    <sheet name="HedgeOrders" sheetId="4" r:id="rId5"/>
    <sheet name="HedgeFamilies" sheetId="5" r:id="rId6"/>
    <sheet name="Carabids" sheetId="6" r:id="rId7"/>
    <sheet name="PitfallCharacteristicsModels" sheetId="7" r:id="rId8"/>
    <sheet name="HedgeCharacteristicsModels" sheetId="13" r:id="rId9"/>
    <sheet name="CarabidsConducive" sheetId="10" r:id="rId10"/>
    <sheet name="HabitatCharacteristics" sheetId="18" r:id="rId11"/>
    <sheet name="FloralSurveys" sheetId="17" r:id="rId12"/>
    <sheet name="ShrubData" sheetId="25" r:id="rId13"/>
    <sheet name="Hedgerows" sheetId="22" r:id="rId14"/>
    <sheet name="PitfallCoordinates" sheetId="16" r:id="rId15"/>
    <sheet name="PERMANOVA" sheetId="19" r:id="rId16"/>
    <sheet name="Mantel" sheetId="21" r:id="rId17"/>
    <sheet name="Interaction" sheetId="20" r:id="rId18"/>
    <sheet name="EffectsTable" sheetId="12" r:id="rId1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3" l="1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2" i="6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2" i="4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2" i="3"/>
  <c r="J91" i="5"/>
  <c r="I91" i="5"/>
  <c r="H91" i="5"/>
  <c r="J90" i="5"/>
  <c r="I90" i="5"/>
  <c r="H90" i="5"/>
  <c r="J89" i="5"/>
  <c r="I89" i="5"/>
  <c r="H89" i="5"/>
  <c r="J88" i="5"/>
  <c r="I88" i="5"/>
  <c r="H88" i="5"/>
  <c r="J87" i="5"/>
  <c r="I87" i="5"/>
  <c r="H87" i="5"/>
  <c r="J86" i="5"/>
  <c r="I86" i="5"/>
  <c r="H86" i="5"/>
  <c r="J85" i="5"/>
  <c r="I85" i="5"/>
  <c r="H85" i="5"/>
  <c r="J84" i="5"/>
  <c r="I84" i="5"/>
  <c r="H84" i="5"/>
  <c r="J83" i="5"/>
  <c r="I83" i="5"/>
  <c r="H83" i="5"/>
  <c r="J82" i="5"/>
  <c r="I82" i="5"/>
  <c r="H82" i="5"/>
  <c r="J81" i="5"/>
  <c r="I81" i="5"/>
  <c r="H81" i="5"/>
  <c r="J80" i="5"/>
  <c r="I80" i="5"/>
  <c r="H80" i="5"/>
  <c r="J79" i="5"/>
  <c r="I79" i="5"/>
  <c r="H79" i="5"/>
  <c r="J78" i="5"/>
  <c r="I78" i="5"/>
  <c r="H78" i="5"/>
  <c r="J77" i="5"/>
  <c r="I77" i="5"/>
  <c r="H77" i="5"/>
  <c r="J76" i="5"/>
  <c r="I76" i="5"/>
  <c r="H76" i="5"/>
  <c r="J75" i="5"/>
  <c r="I75" i="5"/>
  <c r="H75" i="5"/>
  <c r="J74" i="5"/>
  <c r="I74" i="5"/>
  <c r="H74" i="5"/>
  <c r="J73" i="5"/>
  <c r="I73" i="5"/>
  <c r="H73" i="5"/>
  <c r="J72" i="5"/>
  <c r="I72" i="5"/>
  <c r="H72" i="5"/>
  <c r="J71" i="5"/>
  <c r="I71" i="5"/>
  <c r="H71" i="5"/>
  <c r="J70" i="5"/>
  <c r="I70" i="5"/>
  <c r="H70" i="5"/>
  <c r="J69" i="5"/>
  <c r="I69" i="5"/>
  <c r="H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3" i="5"/>
  <c r="I63" i="5"/>
  <c r="H63" i="5"/>
  <c r="J62" i="5"/>
  <c r="I62" i="5"/>
  <c r="H62" i="5"/>
  <c r="J61" i="5"/>
  <c r="I61" i="5"/>
  <c r="H61" i="5"/>
  <c r="J60" i="5"/>
  <c r="I60" i="5"/>
  <c r="H60" i="5"/>
  <c r="J59" i="5"/>
  <c r="I59" i="5"/>
  <c r="H59" i="5"/>
  <c r="J58" i="5"/>
  <c r="I58" i="5"/>
  <c r="H58" i="5"/>
  <c r="J57" i="5"/>
  <c r="I57" i="5"/>
  <c r="H57" i="5"/>
  <c r="J56" i="5"/>
  <c r="I56" i="5"/>
  <c r="H56" i="5"/>
  <c r="J55" i="5"/>
  <c r="I55" i="5"/>
  <c r="H55" i="5"/>
  <c r="J54" i="5"/>
  <c r="I54" i="5"/>
  <c r="H54" i="5"/>
  <c r="J53" i="5"/>
  <c r="I53" i="5"/>
  <c r="H53" i="5"/>
  <c r="J52" i="5"/>
  <c r="I52" i="5"/>
  <c r="H52" i="5"/>
  <c r="J51" i="5"/>
  <c r="I51" i="5"/>
  <c r="H51" i="5"/>
  <c r="J50" i="5"/>
  <c r="I50" i="5"/>
  <c r="H50" i="5"/>
  <c r="J49" i="5"/>
  <c r="I49" i="5"/>
  <c r="H49" i="5"/>
  <c r="J48" i="5"/>
  <c r="I48" i="5"/>
  <c r="H48" i="5"/>
  <c r="J47" i="5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J38" i="5"/>
  <c r="I38" i="5"/>
  <c r="H38" i="5"/>
  <c r="J37" i="5"/>
  <c r="I37" i="5"/>
  <c r="H37" i="5"/>
  <c r="J36" i="5"/>
  <c r="I36" i="5"/>
  <c r="H36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J5" i="5"/>
  <c r="I5" i="5"/>
  <c r="H5" i="5"/>
  <c r="J4" i="5"/>
  <c r="I4" i="5"/>
  <c r="H4" i="5"/>
  <c r="J3" i="5"/>
  <c r="I3" i="5"/>
  <c r="H3" i="5"/>
  <c r="J2" i="5"/>
  <c r="I2" i="5"/>
  <c r="H2" i="5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5" i="2"/>
  <c r="I6" i="2"/>
  <c r="I7" i="2"/>
  <c r="I8" i="2"/>
  <c r="I9" i="2"/>
  <c r="I10" i="2"/>
  <c r="I11" i="2"/>
  <c r="I12" i="2"/>
  <c r="I13" i="2"/>
  <c r="I14" i="2"/>
  <c r="I3" i="2"/>
  <c r="I4" i="2"/>
  <c r="I2" i="2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3" i="3"/>
  <c r="I2" i="3"/>
  <c r="J91" i="2"/>
  <c r="H91" i="2"/>
  <c r="J90" i="2"/>
  <c r="H90" i="2"/>
  <c r="J89" i="2"/>
  <c r="H89" i="2"/>
  <c r="J88" i="2"/>
  <c r="H88" i="2"/>
  <c r="J87" i="2"/>
  <c r="H87" i="2"/>
  <c r="J86" i="2"/>
  <c r="H86" i="2"/>
  <c r="J85" i="2"/>
  <c r="H85" i="2"/>
  <c r="J84" i="2"/>
  <c r="H84" i="2"/>
  <c r="J83" i="2"/>
  <c r="H83" i="2"/>
  <c r="J82" i="2"/>
  <c r="H82" i="2"/>
  <c r="J81" i="2"/>
  <c r="H81" i="2"/>
  <c r="J80" i="2"/>
  <c r="H80" i="2"/>
  <c r="J79" i="2"/>
  <c r="H79" i="2"/>
  <c r="J78" i="2"/>
  <c r="H78" i="2"/>
  <c r="J77" i="2"/>
  <c r="H77" i="2"/>
  <c r="J76" i="2"/>
  <c r="H76" i="2"/>
  <c r="J75" i="2"/>
  <c r="H75" i="2"/>
  <c r="J74" i="2"/>
  <c r="H74" i="2"/>
  <c r="J73" i="2"/>
  <c r="H73" i="2"/>
  <c r="J72" i="2"/>
  <c r="H72" i="2"/>
  <c r="J71" i="2"/>
  <c r="H71" i="2"/>
  <c r="J70" i="2"/>
  <c r="H70" i="2"/>
  <c r="J69" i="2"/>
  <c r="H69" i="2"/>
  <c r="J68" i="2"/>
  <c r="H68" i="2"/>
  <c r="J67" i="2"/>
  <c r="H67" i="2"/>
  <c r="J66" i="2"/>
  <c r="H66" i="2"/>
  <c r="J65" i="2"/>
  <c r="H65" i="2"/>
  <c r="J64" i="2"/>
  <c r="H64" i="2"/>
  <c r="J63" i="2"/>
  <c r="H63" i="2"/>
  <c r="J62" i="2"/>
  <c r="H62" i="2"/>
  <c r="J61" i="2"/>
  <c r="H61" i="2"/>
  <c r="J60" i="2"/>
  <c r="H60" i="2"/>
  <c r="J59" i="2"/>
  <c r="H59" i="2"/>
  <c r="J58" i="2"/>
  <c r="H58" i="2"/>
  <c r="J57" i="2"/>
  <c r="H57" i="2"/>
  <c r="J56" i="2"/>
  <c r="H56" i="2"/>
  <c r="J55" i="2"/>
  <c r="H55" i="2"/>
  <c r="J54" i="2"/>
  <c r="H54" i="2"/>
  <c r="J53" i="2"/>
  <c r="H53" i="2"/>
  <c r="J52" i="2"/>
  <c r="H52" i="2"/>
  <c r="J51" i="2"/>
  <c r="H51" i="2"/>
  <c r="J50" i="2"/>
  <c r="H50" i="2"/>
  <c r="J49" i="2"/>
  <c r="H49" i="2"/>
  <c r="J48" i="2"/>
  <c r="H48" i="2"/>
  <c r="J47" i="2"/>
  <c r="H47" i="2"/>
  <c r="J46" i="2"/>
  <c r="H46" i="2"/>
  <c r="J45" i="2"/>
  <c r="H45" i="2"/>
  <c r="J44" i="2"/>
  <c r="H44" i="2"/>
  <c r="J43" i="2"/>
  <c r="H43" i="2"/>
  <c r="J42" i="2"/>
  <c r="H42" i="2"/>
  <c r="J41" i="2"/>
  <c r="H41" i="2"/>
  <c r="J40" i="2"/>
  <c r="H40" i="2"/>
  <c r="J39" i="2"/>
  <c r="H39" i="2"/>
  <c r="J38" i="2"/>
  <c r="H38" i="2"/>
  <c r="J37" i="2"/>
  <c r="H37" i="2"/>
  <c r="J36" i="2"/>
  <c r="H36" i="2"/>
  <c r="J35" i="2"/>
  <c r="H35" i="2"/>
  <c r="J34" i="2"/>
  <c r="H34" i="2"/>
  <c r="J33" i="2"/>
  <c r="H33" i="2"/>
  <c r="J32" i="2"/>
  <c r="H32" i="2"/>
  <c r="J31" i="2"/>
  <c r="H31" i="2"/>
  <c r="J30" i="2"/>
  <c r="H30" i="2"/>
  <c r="J29" i="2"/>
  <c r="H29" i="2"/>
  <c r="J28" i="2"/>
  <c r="H28" i="2"/>
  <c r="J27" i="2"/>
  <c r="H27" i="2"/>
  <c r="J26" i="2"/>
  <c r="H26" i="2"/>
  <c r="J25" i="2"/>
  <c r="H25" i="2"/>
  <c r="J24" i="2"/>
  <c r="H24" i="2"/>
  <c r="J23" i="2"/>
  <c r="H23" i="2"/>
  <c r="J22" i="2"/>
  <c r="H22" i="2"/>
  <c r="J21" i="2"/>
  <c r="H21" i="2"/>
  <c r="J20" i="2"/>
  <c r="H20" i="2"/>
  <c r="J19" i="2"/>
  <c r="H19" i="2"/>
  <c r="J18" i="2"/>
  <c r="H18" i="2"/>
  <c r="J17" i="2"/>
  <c r="H17" i="2"/>
  <c r="J16" i="2"/>
  <c r="H16" i="2"/>
  <c r="J15" i="2"/>
  <c r="H15" i="2"/>
  <c r="J14" i="2"/>
  <c r="H14" i="2"/>
  <c r="J13" i="2"/>
  <c r="H13" i="2"/>
  <c r="J12" i="2"/>
  <c r="H12" i="2"/>
  <c r="J11" i="2"/>
  <c r="H11" i="2"/>
  <c r="J10" i="2"/>
  <c r="H10" i="2"/>
  <c r="J9" i="2"/>
  <c r="H9" i="2"/>
  <c r="J8" i="2"/>
  <c r="H8" i="2"/>
  <c r="J7" i="2"/>
  <c r="H7" i="2"/>
  <c r="J6" i="2"/>
  <c r="H6" i="2"/>
  <c r="J5" i="2"/>
  <c r="H5" i="2"/>
  <c r="J4" i="2"/>
  <c r="H4" i="2"/>
  <c r="J3" i="2"/>
  <c r="H3" i="2"/>
  <c r="J2" i="2"/>
  <c r="H2" i="2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I92" i="1" s="1"/>
  <c r="H2" i="1"/>
</calcChain>
</file>

<file path=xl/sharedStrings.xml><?xml version="1.0" encoding="utf-8"?>
<sst xmlns="http://schemas.openxmlformats.org/spreadsheetml/2006/main" count="8228" uniqueCount="640">
  <si>
    <t>Pitfall</t>
  </si>
  <si>
    <t>Latitude</t>
  </si>
  <si>
    <t>Longitude</t>
  </si>
  <si>
    <t>Month</t>
  </si>
  <si>
    <t>HabitatType</t>
  </si>
  <si>
    <t xml:space="preserve">Distinctiveness </t>
  </si>
  <si>
    <t>Condition</t>
  </si>
  <si>
    <t>d_c</t>
  </si>
  <si>
    <t>TotalAbundance</t>
  </si>
  <si>
    <t>TaxonRichness</t>
  </si>
  <si>
    <t>Aspect</t>
  </si>
  <si>
    <t>Direction</t>
  </si>
  <si>
    <t>Width</t>
  </si>
  <si>
    <t>Height</t>
  </si>
  <si>
    <t>AdjacentLandUse</t>
  </si>
  <si>
    <t>Acari (Mites)</t>
  </si>
  <si>
    <t>Aphidae</t>
  </si>
  <si>
    <t>Araneae</t>
  </si>
  <si>
    <t>Chilopoda (Centipedes)</t>
  </si>
  <si>
    <t>Clitellata (Worms)</t>
  </si>
  <si>
    <t>Dermaptera (earwigs)</t>
  </si>
  <si>
    <t xml:space="preserve">Gastropoda </t>
  </si>
  <si>
    <t>Isopoda</t>
  </si>
  <si>
    <t>Julida</t>
  </si>
  <si>
    <t>Lepidopetra</t>
  </si>
  <si>
    <t>Opiliones</t>
  </si>
  <si>
    <t>Polydesmida (Flat back Milipede)</t>
  </si>
  <si>
    <t xml:space="preserve">Pseudoscorpions </t>
  </si>
  <si>
    <t>Psocoptera (Barklouse)</t>
  </si>
  <si>
    <t>Entomobryomorpha</t>
  </si>
  <si>
    <t>Symphypleona</t>
  </si>
  <si>
    <t>Berytidae (Stilt bugs)</t>
  </si>
  <si>
    <t>Cicadellidae (leafhoppers)</t>
  </si>
  <si>
    <t>Cydnidae (Shield bugs)</t>
  </si>
  <si>
    <t>Hemerobiidae (Lacewings)</t>
  </si>
  <si>
    <t>Issidae (plant hoppers)</t>
  </si>
  <si>
    <t>Lygaeidae (seed bugs)</t>
  </si>
  <si>
    <t>Nabidae (damsel bugs)</t>
  </si>
  <si>
    <t>Thyreocoridae (weird sheild)</t>
  </si>
  <si>
    <t>Tingidae (lace bugs)</t>
  </si>
  <si>
    <t xml:space="preserve">Apidae </t>
  </si>
  <si>
    <t>Vespidae</t>
  </si>
  <si>
    <t>Formicidae</t>
  </si>
  <si>
    <t>Scelionidae (Small Para Wasps)</t>
  </si>
  <si>
    <t>Diaparidae (long para wasps)</t>
  </si>
  <si>
    <t>Anthomyiidae</t>
  </si>
  <si>
    <t>Calliphoridae (Blowflies)</t>
  </si>
  <si>
    <t>Chironomidae (Midges)</t>
  </si>
  <si>
    <t>Empididae</t>
  </si>
  <si>
    <t xml:space="preserve">Hybotidae </t>
  </si>
  <si>
    <t>Phoridae</t>
  </si>
  <si>
    <t>Sacropharigae</t>
  </si>
  <si>
    <t>Sepsidae</t>
  </si>
  <si>
    <t>Sciaridae</t>
  </si>
  <si>
    <t>Sphaeroceridae (Small flies)</t>
  </si>
  <si>
    <t>Byrrhidae (Pill Beetles)</t>
  </si>
  <si>
    <t>Chrysomelidae (flea beetle)</t>
  </si>
  <si>
    <t>Coccinellidae</t>
  </si>
  <si>
    <t>Coleptera larve</t>
  </si>
  <si>
    <t>Corylophidae (Minute hooded)</t>
  </si>
  <si>
    <t>Crytophagidae (silken fungus)</t>
  </si>
  <si>
    <t>Curculionidae (Weevil)</t>
  </si>
  <si>
    <t>Latridiidae (minute  scavenger)</t>
  </si>
  <si>
    <t>Leiodidae (Fungus beetles)</t>
  </si>
  <si>
    <t>Scaraboidea</t>
  </si>
  <si>
    <t>Scaraboidea larvae</t>
  </si>
  <si>
    <t>Silphidae (Carrion beetles)</t>
  </si>
  <si>
    <t>Staphylinidae</t>
  </si>
  <si>
    <t>Staphylinidae larvae</t>
  </si>
  <si>
    <t>Tenebrionidae (darkling beetle)</t>
  </si>
  <si>
    <t>Carabidae larvae</t>
  </si>
  <si>
    <t>Carabidae</t>
  </si>
  <si>
    <t>MPH1</t>
  </si>
  <si>
    <t>Species-rich native hedgerow with trees</t>
  </si>
  <si>
    <t>SW</t>
  </si>
  <si>
    <t>3-3.5</t>
  </si>
  <si>
    <t>2.5-3</t>
  </si>
  <si>
    <t>Species-rich Meadow</t>
  </si>
  <si>
    <t>MPH2</t>
  </si>
  <si>
    <t>Species-rich native hedgerow with trees - associated with bank or ditch</t>
  </si>
  <si>
    <t>SE</t>
  </si>
  <si>
    <t>4.5-5</t>
  </si>
  <si>
    <t>MPH3</t>
  </si>
  <si>
    <t>S</t>
  </si>
  <si>
    <t>1.5-2</t>
  </si>
  <si>
    <t>2-2.5</t>
  </si>
  <si>
    <t>Wheat Field</t>
  </si>
  <si>
    <t>MPH4</t>
  </si>
  <si>
    <t>E</t>
  </si>
  <si>
    <t>3.5-4</t>
  </si>
  <si>
    <t>MPH5</t>
  </si>
  <si>
    <t xml:space="preserve">Native hedgerow   </t>
  </si>
  <si>
    <t>W</t>
  </si>
  <si>
    <t>MPH6</t>
  </si>
  <si>
    <t>Barley Field</t>
  </si>
  <si>
    <t>MPH7</t>
  </si>
  <si>
    <t>Species-rich native hedgerow</t>
  </si>
  <si>
    <t>N</t>
  </si>
  <si>
    <t>MPH8</t>
  </si>
  <si>
    <t>Meadow then Barley</t>
  </si>
  <si>
    <t>MPH9</t>
  </si>
  <si>
    <t>MPH10</t>
  </si>
  <si>
    <t>Non-native and ornamental hedgerow</t>
  </si>
  <si>
    <t>NW</t>
  </si>
  <si>
    <t>1-1.5</t>
  </si>
  <si>
    <t>MPH11</t>
  </si>
  <si>
    <t>MPH12</t>
  </si>
  <si>
    <t>MPH13</t>
  </si>
  <si>
    <t>Path Verge</t>
  </si>
  <si>
    <t>MPH14</t>
  </si>
  <si>
    <t>Native hedgerow</t>
  </si>
  <si>
    <t>MPH15</t>
  </si>
  <si>
    <t>MPH16</t>
  </si>
  <si>
    <t>Oat Field</t>
  </si>
  <si>
    <t>MPH17</t>
  </si>
  <si>
    <t>Wild Grassland</t>
  </si>
  <si>
    <t>MPH18</t>
  </si>
  <si>
    <t>MPH19</t>
  </si>
  <si>
    <t>4-4.5</t>
  </si>
  <si>
    <t>MPH20</t>
  </si>
  <si>
    <t>MPH21</t>
  </si>
  <si>
    <t>Mowed Grass Field</t>
  </si>
  <si>
    <t>MPH22</t>
  </si>
  <si>
    <t>MPH23</t>
  </si>
  <si>
    <t xml:space="preserve">S  </t>
  </si>
  <si>
    <t>MPH24</t>
  </si>
  <si>
    <t>MPH25</t>
  </si>
  <si>
    <t>MPH26</t>
  </si>
  <si>
    <t>MPH27</t>
  </si>
  <si>
    <t>MPH28</t>
  </si>
  <si>
    <t>MPH29</t>
  </si>
  <si>
    <t>MPH30</t>
  </si>
  <si>
    <t>Jul</t>
  </si>
  <si>
    <t>Aug</t>
  </si>
  <si>
    <t>SamplingRound</t>
  </si>
  <si>
    <t>One</t>
  </si>
  <si>
    <t>Two</t>
  </si>
  <si>
    <t>Three</t>
  </si>
  <si>
    <t>Hemiptera</t>
  </si>
  <si>
    <t>Hymenoptera</t>
  </si>
  <si>
    <t>Diptera</t>
  </si>
  <si>
    <t>Coleoptera</t>
  </si>
  <si>
    <t>Dermaptera (Earwigs)</t>
  </si>
  <si>
    <t>Gastropoda</t>
  </si>
  <si>
    <t>Lepidoptera</t>
  </si>
  <si>
    <t>Myriapoda</t>
  </si>
  <si>
    <t xml:space="preserve">Opiliones </t>
  </si>
  <si>
    <t>Psocoptera (Barkflies)</t>
  </si>
  <si>
    <t>Tettigoniidae (bush cricket)</t>
  </si>
  <si>
    <t>Anthocoridae (Pirate bugs)</t>
  </si>
  <si>
    <t>Cercopoidae (Froghopper)</t>
  </si>
  <si>
    <t>Coreidae (Dock bugs)</t>
  </si>
  <si>
    <t>Pentatomidae (Shield bugs)</t>
  </si>
  <si>
    <t>Heterogastridae (nettle bugs)</t>
  </si>
  <si>
    <t>Miridae (Plant bugs)</t>
  </si>
  <si>
    <t>Psyllidae (Jumping plant lice)</t>
  </si>
  <si>
    <t>Reduviidae (skinny assassin bugs)</t>
  </si>
  <si>
    <t xml:space="preserve">Formicidae </t>
  </si>
  <si>
    <t xml:space="preserve">Parasitica </t>
  </si>
  <si>
    <t>Symphyta</t>
  </si>
  <si>
    <t>Anthicidae (ant like flower beetle)</t>
  </si>
  <si>
    <t>Bupestridae (Jewel beetles)</t>
  </si>
  <si>
    <t>Cantharidae</t>
  </si>
  <si>
    <t xml:space="preserve">Curculionidae </t>
  </si>
  <si>
    <t>Chrysomelidea (Flea Beetle)</t>
  </si>
  <si>
    <t>Cryptophagidae (silken fungus)</t>
  </si>
  <si>
    <t>Phalacridae (shining flower beetle)</t>
  </si>
  <si>
    <t>Ptinidae (wood-boring beetles)</t>
  </si>
  <si>
    <t>Latridiidae (minute scavenger)</t>
  </si>
  <si>
    <t>Leiodiidae (Fungus beetles)</t>
  </si>
  <si>
    <t>Melyridae (soft flower beetle)</t>
  </si>
  <si>
    <t>Mordellidae (tumbling flower beetle0</t>
  </si>
  <si>
    <t>Nitidulidae</t>
  </si>
  <si>
    <t>Tenebrionidae (Darkling beetle)</t>
  </si>
  <si>
    <t>Calliphoridae</t>
  </si>
  <si>
    <t>Chironomidae (non bite midges)</t>
  </si>
  <si>
    <t>Chloropidae (grass flies)</t>
  </si>
  <si>
    <t>Cecidomyiidae (gall midges)</t>
  </si>
  <si>
    <t>Drosophilidae</t>
  </si>
  <si>
    <t>Ephydridae (Shore flies)</t>
  </si>
  <si>
    <t>Hybotidae (dance flies)</t>
  </si>
  <si>
    <t>Lauxaniidae</t>
  </si>
  <si>
    <t>Lonchopteridae</t>
  </si>
  <si>
    <t>Simuliidae (Black flies)</t>
  </si>
  <si>
    <t>Stratyomidae</t>
  </si>
  <si>
    <t>Tachinidae</t>
  </si>
  <si>
    <t>Tulipidae</t>
  </si>
  <si>
    <t>Amara bifrons</t>
  </si>
  <si>
    <t>Amara communis</t>
  </si>
  <si>
    <t xml:space="preserve">Amara familiaris </t>
  </si>
  <si>
    <t>Amara ovata</t>
  </si>
  <si>
    <t>Amara similata</t>
  </si>
  <si>
    <t>Anchomenus dorsalis</t>
  </si>
  <si>
    <t>Badister bullatus</t>
  </si>
  <si>
    <t>Bembidion guttula</t>
  </si>
  <si>
    <t xml:space="preserve">Bembidion lampros </t>
  </si>
  <si>
    <t>Bembidion quadrimaculatum</t>
  </si>
  <si>
    <t>Brachinus crepitans</t>
  </si>
  <si>
    <t>Calathus fuscipes</t>
  </si>
  <si>
    <t>Calathus rotundicollis</t>
  </si>
  <si>
    <t>Clivinia fossor</t>
  </si>
  <si>
    <t>Curtonotus aulicus</t>
  </si>
  <si>
    <t>Harpalus affinis</t>
  </si>
  <si>
    <t>Harpalus latus</t>
  </si>
  <si>
    <t>Harpalus rufipes</t>
  </si>
  <si>
    <t>Harpalus tardus</t>
  </si>
  <si>
    <t>Microlestes minutulus</t>
  </si>
  <si>
    <t>Nebria brevicollis</t>
  </si>
  <si>
    <t>Notiophilus biguttatus</t>
  </si>
  <si>
    <t>Notiophilus germinyi</t>
  </si>
  <si>
    <t>Notiophilus palustris</t>
  </si>
  <si>
    <t>Notiophilus rufipes</t>
  </si>
  <si>
    <t>Ophonus rufibarbis</t>
  </si>
  <si>
    <t>Oxypselaphus obscurus</t>
  </si>
  <si>
    <t>Poecilus cupreus</t>
  </si>
  <si>
    <t>Poecilus versicolor</t>
  </si>
  <si>
    <t>Pterostichus madidus</t>
  </si>
  <si>
    <t>Pterostichus melanarius</t>
  </si>
  <si>
    <t>Pterostichus niger</t>
  </si>
  <si>
    <t>Pterostichus strenuus</t>
  </si>
  <si>
    <t>Syntomus foveatus</t>
  </si>
  <si>
    <t xml:space="preserve">Syntomus truncatellus </t>
  </si>
  <si>
    <t>Trechus obtusus</t>
  </si>
  <si>
    <t>Acari</t>
  </si>
  <si>
    <t>Chilopoda</t>
  </si>
  <si>
    <t>Clitellata</t>
  </si>
  <si>
    <t>Dermaptera</t>
  </si>
  <si>
    <t>Polydesmida</t>
  </si>
  <si>
    <t>Psocoptera</t>
  </si>
  <si>
    <t xml:space="preserve">Symphypleona </t>
  </si>
  <si>
    <t xml:space="preserve">Hemiptera </t>
  </si>
  <si>
    <t xml:space="preserve">Diptera </t>
  </si>
  <si>
    <t>Tettigoniidae</t>
  </si>
  <si>
    <t>Byrrhidae</t>
  </si>
  <si>
    <t>Chrysomelidae</t>
  </si>
  <si>
    <t>Corylophidae</t>
  </si>
  <si>
    <t>Cryptophagidae</t>
  </si>
  <si>
    <t>Curculionidae</t>
  </si>
  <si>
    <t>Latridiidae</t>
  </si>
  <si>
    <t>Leiodidae</t>
  </si>
  <si>
    <t>Lygaeidae</t>
  </si>
  <si>
    <t>Scarabaeoidea</t>
  </si>
  <si>
    <t>Silphidae</t>
  </si>
  <si>
    <t>Tenebrionidae</t>
  </si>
  <si>
    <t>Berytidae</t>
  </si>
  <si>
    <t>Cicadellidae</t>
  </si>
  <si>
    <t>Cydnidae</t>
  </si>
  <si>
    <t>Hemerobiidae</t>
  </si>
  <si>
    <t>Issidae</t>
  </si>
  <si>
    <t>Nabidae</t>
  </si>
  <si>
    <t>Thyreocoridae</t>
  </si>
  <si>
    <t>Tingidae</t>
  </si>
  <si>
    <t>Apidae</t>
  </si>
  <si>
    <t>Scelionidae</t>
  </si>
  <si>
    <t>Diapriidae</t>
  </si>
  <si>
    <t>Chironomidae</t>
  </si>
  <si>
    <t>Hybotidae</t>
  </si>
  <si>
    <t>Sarcophagidae</t>
  </si>
  <si>
    <t>Sphaeroceridae</t>
  </si>
  <si>
    <t>Forficulidae</t>
  </si>
  <si>
    <t>Julidae</t>
  </si>
  <si>
    <t>Polydesmidae</t>
  </si>
  <si>
    <t>Anthocoridae</t>
  </si>
  <si>
    <t>Cercopoidae</t>
  </si>
  <si>
    <t>Coreidae</t>
  </si>
  <si>
    <t>Pentatomidae</t>
  </si>
  <si>
    <t>Heterogastridae</t>
  </si>
  <si>
    <t>Miridae</t>
  </si>
  <si>
    <t>Psyllidae</t>
  </si>
  <si>
    <t>Reduviidae</t>
  </si>
  <si>
    <t>Parasitica</t>
  </si>
  <si>
    <t>Anthicidae</t>
  </si>
  <si>
    <t>Buprestidae</t>
  </si>
  <si>
    <t>Phalacridae</t>
  </si>
  <si>
    <t>Ptinidae</t>
  </si>
  <si>
    <t>Melyridae</t>
  </si>
  <si>
    <t>Mordellidae</t>
  </si>
  <si>
    <t>Chloropidae</t>
  </si>
  <si>
    <t>Cecidomyiidae</t>
  </si>
  <si>
    <t>Ephydridae</t>
  </si>
  <si>
    <t>Simuliidae</t>
  </si>
  <si>
    <t>Stratiomyidae</t>
  </si>
  <si>
    <t>Tipulidae</t>
  </si>
  <si>
    <t>TotalAbundanceP</t>
  </si>
  <si>
    <t>TotalAbundanceH</t>
  </si>
  <si>
    <t>total_shrubs</t>
  </si>
  <si>
    <t>total_climbers</t>
  </si>
  <si>
    <t>total_trees</t>
  </si>
  <si>
    <t>total_woody</t>
  </si>
  <si>
    <t>MaxVegetationHeight</t>
  </si>
  <si>
    <t xml:space="preserve">AverageHeight </t>
  </si>
  <si>
    <t>VegetationLengthFromHedgerow</t>
  </si>
  <si>
    <t>ground_flora_rich</t>
  </si>
  <si>
    <t>TotalAbundanceC</t>
  </si>
  <si>
    <t>RichnessC</t>
  </si>
  <si>
    <t>ShannonC</t>
  </si>
  <si>
    <t>Model</t>
  </si>
  <si>
    <t>Predictor</t>
  </si>
  <si>
    <t>Effect size (exp β)</t>
  </si>
  <si>
    <t>95% CI</t>
  </si>
  <si>
    <t>p-value</t>
  </si>
  <si>
    <t>Relative weight</t>
  </si>
  <si>
    <t>Support</t>
  </si>
  <si>
    <t>Strong</t>
  </si>
  <si>
    <t>Average vegetation height</t>
  </si>
  <si>
    <t>Adjacent land use (agricultural grassland)</t>
  </si>
  <si>
    <t>Weak</t>
  </si>
  <si>
    <t>Hedgerow height</t>
  </si>
  <si>
    <t>Moderate</t>
  </si>
  <si>
    <t>Hedgerow width</t>
  </si>
  <si>
    <t>Ground flora richness</t>
  </si>
  <si>
    <t>Vegetation length from hedgerow</t>
  </si>
  <si>
    <t>Carabid abundance</t>
  </si>
  <si>
    <t>0.50–0.91</t>
  </si>
  <si>
    <t>0.85–1.58</t>
  </si>
  <si>
    <t>0.85–1.54</t>
  </si>
  <si>
    <t>Carabid richness</t>
  </si>
  <si>
    <t>0.63–0.96</t>
  </si>
  <si>
    <t>0.90–1.18</t>
  </si>
  <si>
    <t>0.91–1.14</t>
  </si>
  <si>
    <t>0.87-1.09</t>
  </si>
  <si>
    <t>0.87-1.12</t>
  </si>
  <si>
    <t>z-value</t>
  </si>
  <si>
    <t>TaxonRichnessPFam</t>
  </si>
  <si>
    <t>TaxonRichnessHFam</t>
  </si>
  <si>
    <t>TaxonRichnessHOrd</t>
  </si>
  <si>
    <t>TaxonRichnessPOrd</t>
  </si>
  <si>
    <t>Pitfall Abundance</t>
  </si>
  <si>
    <t>0.92-1.07</t>
  </si>
  <si>
    <t>0.92-1.14</t>
  </si>
  <si>
    <t>Hedge Abundance</t>
  </si>
  <si>
    <t>Total woody richness</t>
  </si>
  <si>
    <t>1.03-1.26</t>
  </si>
  <si>
    <t>0.93-1.16</t>
  </si>
  <si>
    <t>0.93-1.14</t>
  </si>
  <si>
    <t>0.97-1.13</t>
  </si>
  <si>
    <t>0.94-1.04</t>
  </si>
  <si>
    <t>0.96-1.06</t>
  </si>
  <si>
    <t>Hedge Richness</t>
  </si>
  <si>
    <t>Pitfall Richness</t>
  </si>
  <si>
    <t>Hedgerow width</t>
  </si>
  <si>
    <t>0.98-1.13</t>
  </si>
  <si>
    <t>0.96-1.09</t>
  </si>
  <si>
    <t>0.94-1.05</t>
  </si>
  <si>
    <t>What3Words</t>
  </si>
  <si>
    <t>Distinctiveness</t>
  </si>
  <si>
    <t>D_C</t>
  </si>
  <si>
    <t>dashes.torch.diplomats</t>
  </si>
  <si>
    <t>destined.comments.perusing</t>
  </si>
  <si>
    <t>grove.party.angel</t>
  </si>
  <si>
    <t>paraded.dugouts.regulates</t>
  </si>
  <si>
    <t>blindfold.divisible.browsers</t>
  </si>
  <si>
    <t>Native hedgerow   </t>
  </si>
  <si>
    <t>sloping.cools.audit</t>
  </si>
  <si>
    <t>comfort.layered.nurtures</t>
  </si>
  <si>
    <t>register.handyman.willpower</t>
  </si>
  <si>
    <t>friction.elections.crackling</t>
  </si>
  <si>
    <t>twisty.lunching.fleet</t>
  </si>
  <si>
    <t>foiled.cuddling.client</t>
  </si>
  <si>
    <t>shapes.gravitate.kennels</t>
  </si>
  <si>
    <t>item.rider.deploying</t>
  </si>
  <si>
    <t>sobbed.poets.spoil</t>
  </si>
  <si>
    <t>brightens.bravest.snipped</t>
  </si>
  <si>
    <t>huddled.intrigues.inhaled</t>
  </si>
  <si>
    <t>freed.lift.mirroring</t>
  </si>
  <si>
    <t>darkest.darts.improvise</t>
  </si>
  <si>
    <t>impresses.ballpoint.player</t>
  </si>
  <si>
    <t>shocked.newsprint.title</t>
  </si>
  <si>
    <t>reference.smooth.astounded</t>
  </si>
  <si>
    <t>plant.goodnight.professed</t>
  </si>
  <si>
    <t>poem.rating.ownership</t>
  </si>
  <si>
    <t>forced.lately.skid</t>
  </si>
  <si>
    <t>builders.scrapping.boring</t>
  </si>
  <si>
    <t>taster.payer.originate</t>
  </si>
  <si>
    <t>singing.wonderful.treble</t>
  </si>
  <si>
    <t>stability.because.outwit</t>
  </si>
  <si>
    <t>upholding.budding.grab</t>
  </si>
  <si>
    <t>stability.scale.posting</t>
  </si>
  <si>
    <t xml:space="preserve">Pitfall </t>
  </si>
  <si>
    <t>Species</t>
  </si>
  <si>
    <t>Scientific Name</t>
  </si>
  <si>
    <t>Coverage</t>
  </si>
  <si>
    <t>Meadow Buttercup</t>
  </si>
  <si>
    <t>Ranunculus acris</t>
  </si>
  <si>
    <t>Nettles</t>
  </si>
  <si>
    <t>Urtica dioica</t>
  </si>
  <si>
    <t>Ivy</t>
  </si>
  <si>
    <t>Hedera helix</t>
  </si>
  <si>
    <t>Horsetail</t>
  </si>
  <si>
    <t>Equisetum sp</t>
  </si>
  <si>
    <t>Black Horehound</t>
  </si>
  <si>
    <t>Ballota nigra</t>
  </si>
  <si>
    <t>Purging Buckthorn</t>
  </si>
  <si>
    <t>Rhamnus cathartica</t>
  </si>
  <si>
    <t>Yorkshire Fog</t>
  </si>
  <si>
    <t>Holcus lanatus</t>
  </si>
  <si>
    <t>Soft Brome</t>
  </si>
  <si>
    <t>Bromus hordeaceus</t>
  </si>
  <si>
    <t>False Oat Grass</t>
  </si>
  <si>
    <t>Arrhenatherum elatius</t>
  </si>
  <si>
    <t>Fleabane</t>
  </si>
  <si>
    <t>Pulicaria dysenterica</t>
  </si>
  <si>
    <t>Hawthorn</t>
  </si>
  <si>
    <t>Crataegus sp</t>
  </si>
  <si>
    <t>Wood Avens</t>
  </si>
  <si>
    <t>Geum urbanum</t>
  </si>
  <si>
    <t>Brambles</t>
  </si>
  <si>
    <t>Rubus fruticosus</t>
  </si>
  <si>
    <t>Water Mint</t>
  </si>
  <si>
    <t>Mentha aquatica</t>
  </si>
  <si>
    <t>Herb Robert</t>
  </si>
  <si>
    <t>Geranium robertianum</t>
  </si>
  <si>
    <t>plus</t>
  </si>
  <si>
    <t>Broad-leaved Willowherb</t>
  </si>
  <si>
    <t>Epilobium montanum</t>
  </si>
  <si>
    <t>Hop</t>
  </si>
  <si>
    <t>Humulus lupulus</t>
  </si>
  <si>
    <t>Cleavers</t>
  </si>
  <si>
    <t>Galium aparine</t>
  </si>
  <si>
    <t>Rough Meadow Grass</t>
  </si>
  <si>
    <t>Poa trivialis</t>
  </si>
  <si>
    <t>Barren Brome</t>
  </si>
  <si>
    <t>Bromus sterilis</t>
  </si>
  <si>
    <t>False Brome</t>
  </si>
  <si>
    <t>Brachypodium sylvaticum</t>
  </si>
  <si>
    <t>Bristly Oxtongue</t>
  </si>
  <si>
    <t>Helminthotheca echioides</t>
  </si>
  <si>
    <t>Nipplewort</t>
  </si>
  <si>
    <t>Lapsana communis</t>
  </si>
  <si>
    <t>Wheat</t>
  </si>
  <si>
    <t>Triticum sp</t>
  </si>
  <si>
    <t>Elm</t>
  </si>
  <si>
    <t>Ulmus procera</t>
  </si>
  <si>
    <t>Parsley Piert</t>
  </si>
  <si>
    <t>Alchemilla arvensis</t>
  </si>
  <si>
    <t>Lamium sp</t>
  </si>
  <si>
    <t>Welted Thistle</t>
  </si>
  <si>
    <t>Carduus crispus</t>
  </si>
  <si>
    <t>Prickly Sowthistle</t>
  </si>
  <si>
    <t>Sonchus asper</t>
  </si>
  <si>
    <t>Garlic Mustard</t>
  </si>
  <si>
    <t>Alliaria petiolata</t>
  </si>
  <si>
    <t>Wild Oat</t>
  </si>
  <si>
    <t>Avena fatua</t>
  </si>
  <si>
    <t>Moss</t>
  </si>
  <si>
    <t>Bryophyta</t>
  </si>
  <si>
    <t>Blackthorn</t>
  </si>
  <si>
    <t>Prunus spinosa</t>
  </si>
  <si>
    <t>Small Flowered Crane's Bill</t>
  </si>
  <si>
    <t>Geranium pusillum</t>
  </si>
  <si>
    <t>Hedge Mustard</t>
  </si>
  <si>
    <t>Sisymbrium officinale</t>
  </si>
  <si>
    <t xml:space="preserve">Cow Parsley </t>
  </si>
  <si>
    <t>Anthriscus sylvestris</t>
  </si>
  <si>
    <t>Field Bindweed</t>
  </si>
  <si>
    <t>Convolvulus arvensis</t>
  </si>
  <si>
    <t>Mugwort</t>
  </si>
  <si>
    <t>Artemisia vulgaris</t>
  </si>
  <si>
    <t>Festuca sp</t>
  </si>
  <si>
    <t>Poa sp</t>
  </si>
  <si>
    <t>Cock's Foot</t>
  </si>
  <si>
    <t>Dactylis glomerata</t>
  </si>
  <si>
    <t>Common Poppy</t>
  </si>
  <si>
    <t>Papaver rhoeas</t>
  </si>
  <si>
    <t>Daisy</t>
  </si>
  <si>
    <t>Bellis perennis</t>
  </si>
  <si>
    <t>Yarrow</t>
  </si>
  <si>
    <t>Achillea millefolium</t>
  </si>
  <si>
    <t>Common Mouse Ear</t>
  </si>
  <si>
    <t>Cerastium fontanum</t>
  </si>
  <si>
    <t>Cut-leaved Crane's Bill</t>
  </si>
  <si>
    <t>Geranium dissectum</t>
  </si>
  <si>
    <t>Dandelion</t>
  </si>
  <si>
    <t>Taraxacum britannicum</t>
  </si>
  <si>
    <t>Cat's Ear</t>
  </si>
  <si>
    <t>Hypochaeris radicata</t>
  </si>
  <si>
    <t>Smooth Lettuce</t>
  </si>
  <si>
    <t>Sonchus oleraceus</t>
  </si>
  <si>
    <t>Timothy</t>
  </si>
  <si>
    <t>Phleum pratense</t>
  </si>
  <si>
    <t>Dogwood</t>
  </si>
  <si>
    <t>Cornus sanguinea</t>
  </si>
  <si>
    <t>Green Alkanet</t>
  </si>
  <si>
    <t>Pentaglottis sempervirens</t>
  </si>
  <si>
    <t>Oat</t>
  </si>
  <si>
    <t>Avena sativa</t>
  </si>
  <si>
    <t>White Bryony</t>
  </si>
  <si>
    <t>Bryonia dioica</t>
  </si>
  <si>
    <t>Creeping Thistle</t>
  </si>
  <si>
    <t>Cirsium arvense</t>
  </si>
  <si>
    <t>Hogweed</t>
  </si>
  <si>
    <t>Heracleum sphondylium</t>
  </si>
  <si>
    <t>Tall Fescue</t>
  </si>
  <si>
    <t>Lolium arundinaceum</t>
  </si>
  <si>
    <t>Agrostis sp</t>
  </si>
  <si>
    <t>Perforate St John's Wort</t>
  </si>
  <si>
    <t>Hypericum perforatum</t>
  </si>
  <si>
    <t>Veronica sp</t>
  </si>
  <si>
    <t>Groundsel</t>
  </si>
  <si>
    <t>Senecio vulgaris</t>
  </si>
  <si>
    <t>Smooth Sowthistle</t>
  </si>
  <si>
    <t>Upright Hedge Parsley</t>
  </si>
  <si>
    <t>Trollis japonica</t>
  </si>
  <si>
    <t>Myosotis sp</t>
  </si>
  <si>
    <t>Greater Plantain</t>
  </si>
  <si>
    <t>Plantago major</t>
  </si>
  <si>
    <t>Common Ragwort</t>
  </si>
  <si>
    <t>Senecio jacobaea</t>
  </si>
  <si>
    <t>Ash</t>
  </si>
  <si>
    <t>Fraxinus excelsior</t>
  </si>
  <si>
    <t>Black Bryony</t>
  </si>
  <si>
    <t>Dioscorea communis</t>
  </si>
  <si>
    <t>Round Leaved Crane's Bill</t>
  </si>
  <si>
    <t>Geranium rotundifolium</t>
  </si>
  <si>
    <t>Selfheal</t>
  </si>
  <si>
    <t>Prunella vulgaris</t>
  </si>
  <si>
    <t>Hedgerow Crane's Bill</t>
  </si>
  <si>
    <t>Geranium pyrenaicum</t>
  </si>
  <si>
    <t>LeafLitter</t>
  </si>
  <si>
    <t>BareGround</t>
  </si>
  <si>
    <t>Five Heights</t>
  </si>
  <si>
    <t>VegetationLengthfromHedgerow</t>
  </si>
  <si>
    <t>July</t>
  </si>
  <si>
    <t>zero</t>
  </si>
  <si>
    <t>8,80,42,5,75</t>
  </si>
  <si>
    <t>15,18,17,33,55</t>
  </si>
  <si>
    <t>52,46,14,27,32</t>
  </si>
  <si>
    <t>22,27,24,17,12</t>
  </si>
  <si>
    <t>0,91,32,27,12</t>
  </si>
  <si>
    <t>10,13,17,7,16</t>
  </si>
  <si>
    <t>25,18,12,13,33</t>
  </si>
  <si>
    <t>60,47,59,38,16</t>
  </si>
  <si>
    <t>(Meadow Verge then) Barley Field</t>
  </si>
  <si>
    <t>127,52,16,64,47</t>
  </si>
  <si>
    <t>17,87,41,26,33</t>
  </si>
  <si>
    <t>9,27,39,12,0</t>
  </si>
  <si>
    <t>11,37,12,26,7</t>
  </si>
  <si>
    <t>75,39,51,14,29</t>
  </si>
  <si>
    <t>58,62,53,61,60</t>
  </si>
  <si>
    <t>27,96,52,78,31</t>
  </si>
  <si>
    <t>29,131,42,27,38</t>
  </si>
  <si>
    <t>17,54,69,89,31</t>
  </si>
  <si>
    <t>40,43,16,29,22</t>
  </si>
  <si>
    <t>57,71,64,39,52</t>
  </si>
  <si>
    <t>37,91,59,108,78</t>
  </si>
  <si>
    <t>159,161,64,54,73</t>
  </si>
  <si>
    <t>75,89,34,62,4</t>
  </si>
  <si>
    <t>97,84,65,72,44</t>
  </si>
  <si>
    <t>116,45,64,78,52</t>
  </si>
  <si>
    <t>9,82,65,45,22</t>
  </si>
  <si>
    <t>47,13,17,33,12</t>
  </si>
  <si>
    <t>12,0,37,41,32</t>
  </si>
  <si>
    <t>Path then Oat Field</t>
  </si>
  <si>
    <t>45,0,0,17,39</t>
  </si>
  <si>
    <t>49,52,17,22,35</t>
  </si>
  <si>
    <t>21,33,60,53,41</t>
  </si>
  <si>
    <t>17,12,47,12,56</t>
  </si>
  <si>
    <t>Meadow</t>
  </si>
  <si>
    <t>22,37,53,57,59</t>
  </si>
  <si>
    <t>0,0,27,63,60</t>
  </si>
  <si>
    <t>Ploughed Field</t>
  </si>
  <si>
    <t>14,41,21,15,17</t>
  </si>
  <si>
    <t>Path then Ploughed Field</t>
  </si>
  <si>
    <t>24,27,11,68,42</t>
  </si>
  <si>
    <t>Mowed Barley</t>
  </si>
  <si>
    <t>33,26,19,12,52</t>
  </si>
  <si>
    <t>31,16,9,42,23</t>
  </si>
  <si>
    <t>53,12,39,62,54</t>
  </si>
  <si>
    <t>22,28,23,46,30</t>
  </si>
  <si>
    <t>88,32,18,27,9</t>
  </si>
  <si>
    <t>0,0,0,62,54</t>
  </si>
  <si>
    <t>38,0,0,27,17</t>
  </si>
  <si>
    <t>52,49,18,33,25</t>
  </si>
  <si>
    <t xml:space="preserve">Path   </t>
  </si>
  <si>
    <t>46,42,21,24,27</t>
  </si>
  <si>
    <t>Grassland</t>
  </si>
  <si>
    <t>16,24,17,96,87</t>
  </si>
  <si>
    <t>90,0,12,83,30</t>
  </si>
  <si>
    <t>33,56,8,16,19</t>
  </si>
  <si>
    <t>11,13,17,44,38</t>
  </si>
  <si>
    <t>98,82,75,64,23</t>
  </si>
  <si>
    <t>73,32,24,81,33</t>
  </si>
  <si>
    <t>Mowed Grassland</t>
  </si>
  <si>
    <t>159,127,39,165,34</t>
  </si>
  <si>
    <t>64,32,28,24,59</t>
  </si>
  <si>
    <t>118,19,26,45,16</t>
  </si>
  <si>
    <t>59,28,37,62,25</t>
  </si>
  <si>
    <t>13,16,6,35,5</t>
  </si>
  <si>
    <t>Path then Oats</t>
  </si>
  <si>
    <t>36,8,0,47,0</t>
  </si>
  <si>
    <t>34,8,40,7,13</t>
  </si>
  <si>
    <t>48,0,0,22,39</t>
  </si>
  <si>
    <t>47,12,38,6,43</t>
  </si>
  <si>
    <t>52,49,37,0,0</t>
  </si>
  <si>
    <t>Sampling method</t>
  </si>
  <si>
    <t>Taxonomic level</t>
  </si>
  <si>
    <t>R²</t>
  </si>
  <si>
    <t>Order</t>
  </si>
  <si>
    <t>Habitat type</t>
  </si>
  <si>
    <t>Land use</t>
  </si>
  <si>
    <t>Residual</t>
  </si>
  <si>
    <t>Family</t>
  </si>
  <si>
    <t>Carabid</t>
  </si>
  <si>
    <t>Hedge beating</t>
  </si>
  <si>
    <t>Pitfall - Carabid</t>
  </si>
  <si>
    <t>Hedge Beating</t>
  </si>
  <si>
    <t>Sampling round</t>
  </si>
  <si>
    <t>Pitfall Orders</t>
  </si>
  <si>
    <t>Pitfall Fams</t>
  </si>
  <si>
    <t>Carabids</t>
  </si>
  <si>
    <t>Hedge Orders</t>
  </si>
  <si>
    <t>Hedge Fams</t>
  </si>
  <si>
    <t>Interaction R2</t>
  </si>
  <si>
    <t>p</t>
  </si>
  <si>
    <t>Dataset</t>
  </si>
  <si>
    <t>r (Mantel correlation)</t>
  </si>
  <si>
    <t>Habitat Type</t>
  </si>
  <si>
    <t>D*C</t>
  </si>
  <si>
    <t>Hedgerow</t>
  </si>
  <si>
    <t>Coverage with Braun_Blanquet index</t>
  </si>
  <si>
    <t>shrub_layer</t>
  </si>
  <si>
    <t>climbers</t>
  </si>
  <si>
    <t>trees</t>
  </si>
  <si>
    <t>Elder</t>
  </si>
  <si>
    <t>Turkey Oak</t>
  </si>
  <si>
    <t>Hazel</t>
  </si>
  <si>
    <t>White Willow</t>
  </si>
  <si>
    <t>Field Maple</t>
  </si>
  <si>
    <t>Wild Service</t>
  </si>
  <si>
    <t>Pedunculate Oak</t>
  </si>
  <si>
    <t>Sycamore</t>
  </si>
  <si>
    <t>Dog Rose</t>
  </si>
  <si>
    <t>Crab Apple</t>
  </si>
  <si>
    <t xml:space="preserve">Ivy </t>
  </si>
  <si>
    <t>Holly</t>
  </si>
  <si>
    <t>Wayfaring Tree</t>
  </si>
  <si>
    <t>Cherry Laurel</t>
  </si>
  <si>
    <t>Wild Privet</t>
  </si>
  <si>
    <t>Grey Willow</t>
  </si>
  <si>
    <t>Spindle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</si>
</sst>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Lucida Grande"/>
      <family val="2"/>
    </font>
    <font>
      <b/>
      <sz val="11"/>
      <color rgb="FF000000"/>
      <name val="Aptos Narrow"/>
      <family val="2"/>
      <scheme val="minor"/>
    </font>
    <font>
      <sz val="11"/>
      <color theme="1"/>
      <name val="Lucida Grande"/>
      <family val="2"/>
    </font>
    <font>
      <sz val="11"/>
      <color rgb="FF333333"/>
      <name val="Lucida Grande"/>
      <family val="2"/>
    </font>
    <font>
      <sz val="12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FBB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DADAD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top" textRotation="180"/>
    </xf>
    <xf numFmtId="0" fontId="2" fillId="0" borderId="0" xfId="0" applyFont="1" applyAlignment="1">
      <alignment vertical="top" textRotation="180"/>
    </xf>
    <xf numFmtId="0" fontId="0" fillId="2" borderId="0" xfId="0" applyFill="1" applyAlignment="1">
      <alignment vertical="top" textRotation="180"/>
    </xf>
    <xf numFmtId="0" fontId="0" fillId="3" borderId="0" xfId="0" applyFill="1" applyAlignment="1">
      <alignment vertical="top" textRotation="180"/>
    </xf>
    <xf numFmtId="0" fontId="0" fillId="4" borderId="0" xfId="0" applyFill="1" applyAlignment="1">
      <alignment vertical="top" textRotation="180"/>
    </xf>
    <xf numFmtId="0" fontId="0" fillId="5" borderId="0" xfId="0" applyFill="1" applyAlignment="1">
      <alignment vertical="top" textRotation="180"/>
    </xf>
    <xf numFmtId="0" fontId="0" fillId="6" borderId="0" xfId="0" applyFill="1" applyAlignment="1">
      <alignment vertical="top" textRotation="180"/>
    </xf>
    <xf numFmtId="0" fontId="0" fillId="6" borderId="1" xfId="0" applyFill="1" applyBorder="1" applyAlignment="1">
      <alignment vertical="top" textRotation="180"/>
    </xf>
    <xf numFmtId="0" fontId="0" fillId="7" borderId="0" xfId="0" applyFill="1" applyAlignment="1">
      <alignment vertical="top" textRotation="180"/>
    </xf>
    <xf numFmtId="0" fontId="2" fillId="0" borderId="0" xfId="0" applyFont="1"/>
    <xf numFmtId="0" fontId="3" fillId="0" borderId="0" xfId="0" applyFont="1"/>
    <xf numFmtId="0" fontId="0" fillId="5" borderId="0" xfId="0" applyFill="1"/>
    <xf numFmtId="0" fontId="4" fillId="0" borderId="0" xfId="0" applyFont="1"/>
    <xf numFmtId="0" fontId="5" fillId="0" borderId="0" xfId="0" applyFont="1" applyAlignment="1">
      <alignment vertical="top" textRotation="180"/>
    </xf>
    <xf numFmtId="0" fontId="5" fillId="0" borderId="0" xfId="0" applyFont="1"/>
    <xf numFmtId="0" fontId="0" fillId="0" borderId="0" xfId="0" applyFill="1" applyAlignment="1">
      <alignment vertical="top" textRotation="180"/>
    </xf>
    <xf numFmtId="0" fontId="5" fillId="8" borderId="0" xfId="0" applyFont="1" applyFill="1" applyAlignment="1">
      <alignment vertical="top" textRotation="180"/>
    </xf>
    <xf numFmtId="0" fontId="5" fillId="9" borderId="0" xfId="0" applyFont="1" applyFill="1" applyAlignment="1">
      <alignment vertical="top" textRotation="18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10" borderId="0" xfId="0" applyFont="1" applyFill="1"/>
    <xf numFmtId="0" fontId="9" fillId="0" borderId="0" xfId="0" applyFont="1"/>
    <xf numFmtId="0" fontId="6" fillId="0" borderId="0" xfId="0" applyFont="1" applyFill="1"/>
    <xf numFmtId="0" fontId="10" fillId="0" borderId="0" xfId="0" applyFont="1" applyAlignment="1">
      <alignment vertical="top" textRotation="180"/>
    </xf>
    <xf numFmtId="0" fontId="5" fillId="11" borderId="0" xfId="0" applyFont="1" applyFill="1" applyAlignment="1">
      <alignment vertical="top" textRotation="180"/>
    </xf>
    <xf numFmtId="0" fontId="5" fillId="10" borderId="0" xfId="0" applyFont="1" applyFill="1" applyAlignment="1">
      <alignment vertical="top" textRotation="180"/>
    </xf>
    <xf numFmtId="0" fontId="10" fillId="0" borderId="0" xfId="0" applyFont="1"/>
    <xf numFmtId="0" fontId="11" fillId="0" borderId="0" xfId="0" applyFont="1"/>
    <xf numFmtId="0" fontId="5" fillId="0" borderId="0" xfId="0" applyFont="1" applyFill="1" applyAlignment="1">
      <alignment vertical="top" textRotation="180"/>
    </xf>
    <xf numFmtId="0" fontId="5" fillId="0" borderId="0" xfId="0" applyFont="1" applyFill="1"/>
    <xf numFmtId="0" fontId="8" fillId="0" borderId="0" xfId="0" applyFont="1" applyFill="1"/>
    <xf numFmtId="0" fontId="0" fillId="0" borderId="0" xfId="0" applyFill="1"/>
    <xf numFmtId="0" fontId="5" fillId="12" borderId="0" xfId="0" applyFont="1" applyFill="1" applyAlignment="1">
      <alignment vertical="top" textRotation="180"/>
    </xf>
    <xf numFmtId="0" fontId="14" fillId="0" borderId="0" xfId="0" applyFont="1"/>
    <xf numFmtId="0" fontId="5" fillId="9" borderId="0" xfId="0" applyFont="1" applyFill="1"/>
    <xf numFmtId="0" fontId="5" fillId="8" borderId="0" xfId="0" applyFont="1" applyFill="1"/>
    <xf numFmtId="0" fontId="15" fillId="14" borderId="3" xfId="0" applyFont="1" applyFill="1" applyBorder="1"/>
    <xf numFmtId="0" fontId="0" fillId="0" borderId="0" xfId="0" applyAlignment="1">
      <alignment horizontal="right"/>
    </xf>
    <xf numFmtId="0" fontId="16" fillId="13" borderId="2" xfId="0" applyFont="1" applyFill="1" applyBorder="1" applyAlignment="1">
      <alignment horizontal="left"/>
    </xf>
    <xf numFmtId="0" fontId="17" fillId="6" borderId="2" xfId="0" applyFont="1" applyFill="1" applyBorder="1"/>
    <xf numFmtId="0" fontId="17" fillId="6" borderId="2" xfId="0" applyFont="1" applyFill="1" applyBorder="1" applyAlignment="1">
      <alignment horizontal="right"/>
    </xf>
    <xf numFmtId="0" fontId="17" fillId="5" borderId="2" xfId="0" applyFont="1" applyFill="1" applyBorder="1"/>
    <xf numFmtId="0" fontId="17" fillId="5" borderId="2" xfId="0" applyFont="1" applyFill="1" applyBorder="1" applyAlignment="1">
      <alignment horizontal="right"/>
    </xf>
    <xf numFmtId="0" fontId="17" fillId="2" borderId="2" xfId="0" applyFont="1" applyFill="1" applyBorder="1"/>
    <xf numFmtId="0" fontId="17" fillId="2" borderId="2" xfId="0" applyFont="1" applyFill="1" applyBorder="1" applyAlignment="1">
      <alignment horizontal="right"/>
    </xf>
    <xf numFmtId="0" fontId="16" fillId="13" borderId="2" xfId="0" applyFont="1" applyFill="1" applyBorder="1" applyAlignment="1">
      <alignment horizontal="left" vertical="center"/>
    </xf>
    <xf numFmtId="0" fontId="0" fillId="7" borderId="0" xfId="0" applyFill="1" applyBorder="1"/>
    <xf numFmtId="0" fontId="0" fillId="7" borderId="0" xfId="0" applyFill="1" applyBorder="1" applyAlignment="1">
      <alignment horizontal="right"/>
    </xf>
    <xf numFmtId="0" fontId="1" fillId="7" borderId="0" xfId="0" applyFont="1" applyFill="1" applyBorder="1"/>
    <xf numFmtId="0" fontId="0" fillId="7" borderId="0" xfId="0" applyFill="1"/>
    <xf numFmtId="0" fontId="0" fillId="7" borderId="0" xfId="0" applyFill="1" applyAlignment="1">
      <alignment horizontal="right"/>
    </xf>
    <xf numFmtId="0" fontId="0" fillId="0" borderId="5" xfId="0" applyBorder="1"/>
    <xf numFmtId="0" fontId="17" fillId="6" borderId="4" xfId="0" applyFont="1" applyFill="1" applyBorder="1"/>
    <xf numFmtId="0" fontId="17" fillId="6" borderId="4" xfId="0" applyFont="1" applyFill="1" applyBorder="1" applyAlignment="1">
      <alignment horizontal="right"/>
    </xf>
    <xf numFmtId="0" fontId="17" fillId="6" borderId="6" xfId="0" applyFont="1" applyFill="1" applyBorder="1"/>
    <xf numFmtId="0" fontId="17" fillId="6" borderId="6" xfId="0" applyFont="1" applyFill="1" applyBorder="1" applyAlignment="1">
      <alignment horizontal="right"/>
    </xf>
    <xf numFmtId="0" fontId="17" fillId="5" borderId="4" xfId="0" applyFont="1" applyFill="1" applyBorder="1"/>
    <xf numFmtId="0" fontId="17" fillId="5" borderId="4" xfId="0" applyFont="1" applyFill="1" applyBorder="1" applyAlignment="1">
      <alignment horizontal="right"/>
    </xf>
    <xf numFmtId="0" fontId="17" fillId="2" borderId="4" xfId="0" applyFont="1" applyFill="1" applyBorder="1"/>
    <xf numFmtId="0" fontId="17" fillId="2" borderId="4" xfId="0" applyFont="1" applyFill="1" applyBorder="1" applyAlignment="1">
      <alignment horizontal="right"/>
    </xf>
    <xf numFmtId="0" fontId="17" fillId="5" borderId="6" xfId="0" applyFont="1" applyFill="1" applyBorder="1"/>
    <xf numFmtId="0" fontId="17" fillId="5" borderId="6" xfId="0" applyFont="1" applyFill="1" applyBorder="1" applyAlignment="1">
      <alignment horizontal="right"/>
    </xf>
    <xf numFmtId="0" fontId="17" fillId="2" borderId="6" xfId="0" applyFont="1" applyFill="1" applyBorder="1"/>
    <xf numFmtId="0" fontId="17" fillId="2" borderId="6" xfId="0" applyFont="1" applyFill="1" applyBorder="1" applyAlignment="1">
      <alignment horizontal="right"/>
    </xf>
    <xf numFmtId="0" fontId="12" fillId="0" borderId="0" xfId="0" applyFont="1" applyAlignment="1">
      <alignment vertical="top" textRotation="180"/>
    </xf>
    <xf numFmtId="0" fontId="4" fillId="0" borderId="0" xfId="0" applyFont="1" applyAlignment="1">
      <alignment vertical="top" textRotation="180"/>
    </xf>
    <xf numFmtId="0" fontId="7" fillId="0" borderId="0" xfId="0" applyFont="1" applyAlignment="1">
      <alignment vertical="top" textRotation="180"/>
    </xf>
    <xf numFmtId="0" fontId="13" fillId="0" borderId="0" xfId="0" applyFont="1" applyAlignment="1">
      <alignment vertical="top" textRotation="180"/>
    </xf>
    <xf numFmtId="0" fontId="11" fillId="0" borderId="0" xfId="0" applyFont="1" applyAlignment="1">
      <alignment vertical="top" textRotation="180"/>
    </xf>
    <xf numFmtId="0" fontId="10" fillId="2" borderId="0" xfId="0" applyFont="1" applyFill="1" applyAlignment="1">
      <alignment vertical="top" textRotation="180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ACA3-F2D2-BD44-81C1-D8115C485F1B}">
  <dimension ref="A1:CF92"/>
  <sheetViews>
    <sheetView workbookViewId="0">
      <selection activeCell="E13" sqref="E13"/>
    </sheetView>
  </sheetViews>
  <sheetFormatPr baseColWidth="10" defaultRowHeight="16" x14ac:dyDescent="0.2"/>
  <cols>
    <col min="4" max="4" width="5.33203125" bestFit="1" customWidth="1"/>
    <col min="5" max="5" width="59.33203125" bestFit="1" customWidth="1"/>
    <col min="15" max="15" width="19.6640625" bestFit="1" customWidth="1"/>
    <col min="84" max="84" width="19.6640625" bestFit="1" customWidth="1"/>
  </cols>
  <sheetData>
    <row r="1" spans="1:84" ht="169" x14ac:dyDescent="0.2">
      <c r="A1" s="1" t="s">
        <v>0</v>
      </c>
      <c r="B1" s="2" t="s">
        <v>1</v>
      </c>
      <c r="C1" s="2" t="s">
        <v>2</v>
      </c>
      <c r="D1" s="1" t="s">
        <v>134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8" t="s">
        <v>70</v>
      </c>
      <c r="BT1" s="7" t="s">
        <v>71</v>
      </c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</row>
    <row r="2" spans="1:84" x14ac:dyDescent="0.2">
      <c r="A2" t="s">
        <v>72</v>
      </c>
      <c r="B2" s="10">
        <v>51.822099999999999</v>
      </c>
      <c r="C2" s="10">
        <v>-1.2992330000000001</v>
      </c>
      <c r="D2" t="s">
        <v>135</v>
      </c>
      <c r="E2" t="s">
        <v>73</v>
      </c>
      <c r="F2">
        <v>6</v>
      </c>
      <c r="G2">
        <v>3</v>
      </c>
      <c r="H2">
        <f t="shared" ref="H2:H65" si="0">F2*G2</f>
        <v>18</v>
      </c>
      <c r="I2">
        <f t="shared" ref="I2:I65" si="1">SUM(P2:BT2)</f>
        <v>92</v>
      </c>
      <c r="J2">
        <f t="shared" ref="J2:J65" si="2">COUNTIF(P2:BT2,"&gt;0")</f>
        <v>13</v>
      </c>
      <c r="K2" s="13">
        <v>225</v>
      </c>
      <c r="L2" t="s">
        <v>74</v>
      </c>
      <c r="M2" t="s">
        <v>75</v>
      </c>
      <c r="N2" t="s">
        <v>76</v>
      </c>
      <c r="O2" t="s">
        <v>77</v>
      </c>
      <c r="P2">
        <v>2</v>
      </c>
      <c r="Q2">
        <v>4</v>
      </c>
      <c r="R2">
        <v>9</v>
      </c>
      <c r="S2">
        <v>0</v>
      </c>
      <c r="T2">
        <v>0</v>
      </c>
      <c r="U2">
        <v>0</v>
      </c>
      <c r="V2">
        <v>0</v>
      </c>
      <c r="W2">
        <v>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3</v>
      </c>
      <c r="AL2">
        <v>0</v>
      </c>
      <c r="AM2">
        <v>0</v>
      </c>
      <c r="AN2">
        <v>0</v>
      </c>
      <c r="AO2">
        <v>0</v>
      </c>
      <c r="AP2">
        <v>0</v>
      </c>
      <c r="AQ2">
        <v>35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14</v>
      </c>
      <c r="BQ2">
        <v>0</v>
      </c>
      <c r="BR2">
        <v>0</v>
      </c>
      <c r="BS2">
        <v>0</v>
      </c>
      <c r="BT2">
        <v>13</v>
      </c>
      <c r="CB2" s="11"/>
    </row>
    <row r="3" spans="1:84" x14ac:dyDescent="0.2">
      <c r="A3" t="s">
        <v>78</v>
      </c>
      <c r="B3" s="10">
        <v>51.822516999999998</v>
      </c>
      <c r="C3" s="10">
        <v>-1.3022499999999999</v>
      </c>
      <c r="D3" t="s">
        <v>135</v>
      </c>
      <c r="E3" t="s">
        <v>79</v>
      </c>
      <c r="F3">
        <v>8</v>
      </c>
      <c r="G3">
        <v>3</v>
      </c>
      <c r="H3">
        <f t="shared" si="0"/>
        <v>24</v>
      </c>
      <c r="I3">
        <f t="shared" si="1"/>
        <v>125</v>
      </c>
      <c r="J3">
        <f t="shared" si="2"/>
        <v>13</v>
      </c>
      <c r="K3">
        <v>150</v>
      </c>
      <c r="L3" t="s">
        <v>80</v>
      </c>
      <c r="M3" t="s">
        <v>81</v>
      </c>
      <c r="N3" t="s">
        <v>75</v>
      </c>
      <c r="O3" t="s">
        <v>77</v>
      </c>
      <c r="P3">
        <v>2</v>
      </c>
      <c r="Q3">
        <v>0</v>
      </c>
      <c r="R3">
        <v>7</v>
      </c>
      <c r="S3">
        <v>0</v>
      </c>
      <c r="T3">
        <v>0</v>
      </c>
      <c r="U3">
        <v>0</v>
      </c>
      <c r="V3">
        <v>0</v>
      </c>
      <c r="W3">
        <v>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54</v>
      </c>
      <c r="AR3">
        <v>2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10</v>
      </c>
      <c r="BQ3">
        <v>0</v>
      </c>
      <c r="BR3">
        <v>0</v>
      </c>
      <c r="BS3">
        <v>0</v>
      </c>
      <c r="BT3">
        <v>16</v>
      </c>
    </row>
    <row r="4" spans="1:84" x14ac:dyDescent="0.2">
      <c r="A4" t="s">
        <v>82</v>
      </c>
      <c r="B4" s="10">
        <v>51.823616999999999</v>
      </c>
      <c r="C4" s="10">
        <v>-1.3056000000000001</v>
      </c>
      <c r="D4" t="s">
        <v>135</v>
      </c>
      <c r="E4" t="s">
        <v>73</v>
      </c>
      <c r="F4">
        <v>6</v>
      </c>
      <c r="G4">
        <v>3</v>
      </c>
      <c r="H4">
        <f t="shared" si="0"/>
        <v>18</v>
      </c>
      <c r="I4">
        <f t="shared" si="1"/>
        <v>135</v>
      </c>
      <c r="J4">
        <f t="shared" si="2"/>
        <v>11</v>
      </c>
      <c r="K4">
        <v>179</v>
      </c>
      <c r="L4" t="s">
        <v>83</v>
      </c>
      <c r="M4" t="s">
        <v>84</v>
      </c>
      <c r="N4" t="s">
        <v>85</v>
      </c>
      <c r="O4" t="s">
        <v>86</v>
      </c>
      <c r="P4">
        <v>2</v>
      </c>
      <c r="Q4">
        <v>1</v>
      </c>
      <c r="R4">
        <v>16</v>
      </c>
      <c r="S4">
        <v>0</v>
      </c>
      <c r="T4">
        <v>0</v>
      </c>
      <c r="U4">
        <v>0</v>
      </c>
      <c r="V4">
        <v>0</v>
      </c>
      <c r="W4">
        <v>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58</v>
      </c>
      <c r="AR4">
        <v>14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9</v>
      </c>
      <c r="BQ4">
        <v>0</v>
      </c>
      <c r="BR4">
        <v>0</v>
      </c>
      <c r="BS4">
        <v>0</v>
      </c>
      <c r="BT4">
        <v>15</v>
      </c>
    </row>
    <row r="5" spans="1:84" x14ac:dyDescent="0.2">
      <c r="A5" t="s">
        <v>87</v>
      </c>
      <c r="B5" s="10">
        <v>51.822032999999998</v>
      </c>
      <c r="C5" s="10">
        <v>-1.30945</v>
      </c>
      <c r="D5" t="s">
        <v>135</v>
      </c>
      <c r="E5" t="s">
        <v>73</v>
      </c>
      <c r="F5">
        <v>6</v>
      </c>
      <c r="G5">
        <v>3</v>
      </c>
      <c r="H5">
        <f t="shared" si="0"/>
        <v>18</v>
      </c>
      <c r="I5">
        <f t="shared" si="1"/>
        <v>105</v>
      </c>
      <c r="J5">
        <f t="shared" si="2"/>
        <v>13</v>
      </c>
      <c r="K5">
        <v>88</v>
      </c>
      <c r="L5" t="s">
        <v>88</v>
      </c>
      <c r="M5" t="s">
        <v>81</v>
      </c>
      <c r="N5" t="s">
        <v>89</v>
      </c>
      <c r="O5" t="s">
        <v>86</v>
      </c>
      <c r="P5">
        <v>9</v>
      </c>
      <c r="Q5">
        <v>0</v>
      </c>
      <c r="R5">
        <v>4</v>
      </c>
      <c r="S5">
        <v>0</v>
      </c>
      <c r="T5">
        <v>0</v>
      </c>
      <c r="U5">
        <v>0</v>
      </c>
      <c r="V5">
        <v>0</v>
      </c>
      <c r="W5">
        <v>11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21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26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6</v>
      </c>
      <c r="BC5">
        <v>4</v>
      </c>
      <c r="BD5">
        <v>0</v>
      </c>
      <c r="BE5">
        <v>1</v>
      </c>
      <c r="BF5">
        <v>0</v>
      </c>
      <c r="BG5">
        <v>0</v>
      </c>
      <c r="BH5">
        <v>8</v>
      </c>
      <c r="BI5">
        <v>0</v>
      </c>
      <c r="BJ5">
        <v>0</v>
      </c>
      <c r="BK5">
        <v>0</v>
      </c>
      <c r="BL5">
        <v>10</v>
      </c>
      <c r="BM5">
        <v>0</v>
      </c>
      <c r="BN5">
        <v>0</v>
      </c>
      <c r="BO5">
        <v>0</v>
      </c>
      <c r="BP5">
        <v>2</v>
      </c>
      <c r="BQ5">
        <v>0</v>
      </c>
      <c r="BR5">
        <v>0</v>
      </c>
      <c r="BS5">
        <v>0</v>
      </c>
      <c r="BT5">
        <v>0</v>
      </c>
    </row>
    <row r="6" spans="1:84" x14ac:dyDescent="0.2">
      <c r="A6" t="s">
        <v>90</v>
      </c>
      <c r="B6" s="10">
        <v>51.820900000000002</v>
      </c>
      <c r="C6" s="10">
        <v>-1.3093669999999999</v>
      </c>
      <c r="D6" t="s">
        <v>135</v>
      </c>
      <c r="E6" t="s">
        <v>91</v>
      </c>
      <c r="F6">
        <v>2</v>
      </c>
      <c r="G6">
        <v>2</v>
      </c>
      <c r="H6">
        <f t="shared" si="0"/>
        <v>4</v>
      </c>
      <c r="I6">
        <f t="shared" si="1"/>
        <v>191</v>
      </c>
      <c r="J6">
        <f t="shared" si="2"/>
        <v>16</v>
      </c>
      <c r="K6">
        <v>255</v>
      </c>
      <c r="L6" t="s">
        <v>92</v>
      </c>
      <c r="M6" t="s">
        <v>85</v>
      </c>
      <c r="N6" t="s">
        <v>84</v>
      </c>
      <c r="O6" t="s">
        <v>86</v>
      </c>
      <c r="P6">
        <v>1</v>
      </c>
      <c r="Q6">
        <v>51</v>
      </c>
      <c r="R6">
        <v>6</v>
      </c>
      <c r="S6">
        <v>1</v>
      </c>
      <c r="T6">
        <v>0</v>
      </c>
      <c r="U6">
        <v>0</v>
      </c>
      <c r="V6">
        <v>0</v>
      </c>
      <c r="W6">
        <v>70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8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13</v>
      </c>
      <c r="AR6">
        <v>3</v>
      </c>
      <c r="AS6">
        <v>4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6</v>
      </c>
      <c r="BQ6">
        <v>0</v>
      </c>
      <c r="BR6">
        <v>0</v>
      </c>
      <c r="BS6">
        <v>0</v>
      </c>
      <c r="BT6">
        <v>21</v>
      </c>
    </row>
    <row r="7" spans="1:84" x14ac:dyDescent="0.2">
      <c r="A7" t="s">
        <v>93</v>
      </c>
      <c r="B7" s="10">
        <v>51.818367000000002</v>
      </c>
      <c r="C7" s="10">
        <v>-1.3125830000000001</v>
      </c>
      <c r="D7" t="s">
        <v>135</v>
      </c>
      <c r="E7" t="s">
        <v>73</v>
      </c>
      <c r="F7">
        <v>6</v>
      </c>
      <c r="G7">
        <v>2</v>
      </c>
      <c r="H7">
        <f t="shared" si="0"/>
        <v>12</v>
      </c>
      <c r="I7">
        <f t="shared" si="1"/>
        <v>281</v>
      </c>
      <c r="J7">
        <f t="shared" si="2"/>
        <v>13</v>
      </c>
      <c r="K7">
        <v>255</v>
      </c>
      <c r="L7" t="s">
        <v>92</v>
      </c>
      <c r="M7" t="s">
        <v>75</v>
      </c>
      <c r="N7" t="s">
        <v>85</v>
      </c>
      <c r="O7" t="s">
        <v>94</v>
      </c>
      <c r="P7">
        <v>0</v>
      </c>
      <c r="Q7">
        <v>0</v>
      </c>
      <c r="R7">
        <v>8</v>
      </c>
      <c r="S7">
        <v>5</v>
      </c>
      <c r="T7">
        <v>2</v>
      </c>
      <c r="U7">
        <v>1</v>
      </c>
      <c r="V7">
        <v>2</v>
      </c>
      <c r="W7">
        <v>136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74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10</v>
      </c>
      <c r="BQ7">
        <v>1</v>
      </c>
      <c r="BR7">
        <v>0</v>
      </c>
      <c r="BS7">
        <v>0</v>
      </c>
      <c r="BT7">
        <v>25</v>
      </c>
    </row>
    <row r="8" spans="1:84" x14ac:dyDescent="0.2">
      <c r="A8" t="s">
        <v>95</v>
      </c>
      <c r="B8" s="10">
        <v>51.817667</v>
      </c>
      <c r="C8" s="10">
        <v>-1.314683</v>
      </c>
      <c r="D8" t="s">
        <v>135</v>
      </c>
      <c r="E8" t="s">
        <v>96</v>
      </c>
      <c r="F8">
        <v>4</v>
      </c>
      <c r="G8">
        <v>3</v>
      </c>
      <c r="H8">
        <f t="shared" si="0"/>
        <v>12</v>
      </c>
      <c r="I8">
        <f t="shared" si="1"/>
        <v>73</v>
      </c>
      <c r="J8">
        <f t="shared" si="2"/>
        <v>9</v>
      </c>
      <c r="K8">
        <v>2</v>
      </c>
      <c r="L8" t="s">
        <v>97</v>
      </c>
      <c r="M8" t="s">
        <v>84</v>
      </c>
      <c r="N8" t="s">
        <v>84</v>
      </c>
      <c r="O8" t="s">
        <v>94</v>
      </c>
      <c r="P8">
        <v>1</v>
      </c>
      <c r="Q8">
        <v>0</v>
      </c>
      <c r="R8">
        <v>7</v>
      </c>
      <c r="S8">
        <v>0</v>
      </c>
      <c r="T8">
        <v>0</v>
      </c>
      <c r="U8">
        <v>0</v>
      </c>
      <c r="V8">
        <v>0</v>
      </c>
      <c r="W8">
        <v>6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44</v>
      </c>
      <c r="AR8">
        <v>0</v>
      </c>
      <c r="AS8">
        <v>0</v>
      </c>
      <c r="AT8">
        <v>0</v>
      </c>
      <c r="AU8">
        <v>0</v>
      </c>
      <c r="AV8">
        <v>3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5</v>
      </c>
      <c r="BQ8">
        <v>0</v>
      </c>
      <c r="BR8">
        <v>0</v>
      </c>
      <c r="BS8">
        <v>0</v>
      </c>
      <c r="BT8">
        <v>4</v>
      </c>
    </row>
    <row r="9" spans="1:84" x14ac:dyDescent="0.2">
      <c r="A9" t="s">
        <v>98</v>
      </c>
      <c r="B9" s="10">
        <v>51.817332999999998</v>
      </c>
      <c r="C9" s="10">
        <v>-1.3145</v>
      </c>
      <c r="D9" t="s">
        <v>135</v>
      </c>
      <c r="E9" t="s">
        <v>73</v>
      </c>
      <c r="F9">
        <v>6</v>
      </c>
      <c r="G9">
        <v>3</v>
      </c>
      <c r="H9">
        <f t="shared" si="0"/>
        <v>18</v>
      </c>
      <c r="I9">
        <f t="shared" si="1"/>
        <v>243</v>
      </c>
      <c r="J9">
        <f t="shared" si="2"/>
        <v>14</v>
      </c>
      <c r="K9">
        <v>171</v>
      </c>
      <c r="L9" t="s">
        <v>83</v>
      </c>
      <c r="M9" t="s">
        <v>81</v>
      </c>
      <c r="N9" t="s">
        <v>89</v>
      </c>
      <c r="O9" t="s">
        <v>99</v>
      </c>
      <c r="P9">
        <v>1</v>
      </c>
      <c r="Q9">
        <v>3</v>
      </c>
      <c r="R9">
        <v>13</v>
      </c>
      <c r="S9">
        <v>0</v>
      </c>
      <c r="T9">
        <v>0</v>
      </c>
      <c r="U9">
        <v>0</v>
      </c>
      <c r="V9">
        <v>0</v>
      </c>
      <c r="W9">
        <v>26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148</v>
      </c>
      <c r="AR9">
        <v>10</v>
      </c>
      <c r="AS9">
        <v>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9</v>
      </c>
      <c r="BQ9">
        <v>3</v>
      </c>
      <c r="BR9">
        <v>0</v>
      </c>
      <c r="BS9">
        <v>0</v>
      </c>
      <c r="BT9">
        <v>5</v>
      </c>
    </row>
    <row r="10" spans="1:84" x14ac:dyDescent="0.2">
      <c r="A10" t="s">
        <v>100</v>
      </c>
      <c r="B10" s="10">
        <v>51.816682999999998</v>
      </c>
      <c r="C10" s="10">
        <v>-1.31325</v>
      </c>
      <c r="D10" t="s">
        <v>135</v>
      </c>
      <c r="E10" t="s">
        <v>73</v>
      </c>
      <c r="F10">
        <v>6</v>
      </c>
      <c r="G10">
        <v>2</v>
      </c>
      <c r="H10">
        <f t="shared" si="0"/>
        <v>12</v>
      </c>
      <c r="I10">
        <f t="shared" si="1"/>
        <v>196</v>
      </c>
      <c r="J10">
        <f t="shared" si="2"/>
        <v>15</v>
      </c>
      <c r="K10">
        <v>268</v>
      </c>
      <c r="L10" t="s">
        <v>92</v>
      </c>
      <c r="M10" t="s">
        <v>75</v>
      </c>
      <c r="N10" t="s">
        <v>89</v>
      </c>
      <c r="O10" t="s">
        <v>94</v>
      </c>
      <c r="P10">
        <v>5</v>
      </c>
      <c r="Q10">
        <v>8</v>
      </c>
      <c r="R10">
        <v>13</v>
      </c>
      <c r="S10">
        <v>0</v>
      </c>
      <c r="T10">
        <v>0</v>
      </c>
      <c r="U10">
        <v>0</v>
      </c>
      <c r="V10">
        <v>0</v>
      </c>
      <c r="W10">
        <v>36</v>
      </c>
      <c r="X10">
        <v>0</v>
      </c>
      <c r="Y10">
        <v>0</v>
      </c>
      <c r="Z10">
        <v>3</v>
      </c>
      <c r="AA10">
        <v>0</v>
      </c>
      <c r="AB10">
        <v>0</v>
      </c>
      <c r="AC10">
        <v>0</v>
      </c>
      <c r="AD10">
        <v>47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38</v>
      </c>
      <c r="AR10">
        <v>7</v>
      </c>
      <c r="AS10">
        <v>3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3</v>
      </c>
      <c r="BD10">
        <v>0</v>
      </c>
      <c r="BE10">
        <v>0</v>
      </c>
      <c r="BF10">
        <v>0</v>
      </c>
      <c r="BG10">
        <v>0</v>
      </c>
      <c r="BH10">
        <v>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10</v>
      </c>
      <c r="BQ10">
        <v>0</v>
      </c>
      <c r="BR10">
        <v>0</v>
      </c>
      <c r="BS10">
        <v>0</v>
      </c>
      <c r="BT10">
        <v>19</v>
      </c>
    </row>
    <row r="11" spans="1:84" x14ac:dyDescent="0.2">
      <c r="A11" t="s">
        <v>101</v>
      </c>
      <c r="B11" s="10">
        <v>51.815100000000001</v>
      </c>
      <c r="C11" s="10">
        <v>-1.313367</v>
      </c>
      <c r="D11" t="s">
        <v>135</v>
      </c>
      <c r="E11" t="s">
        <v>102</v>
      </c>
      <c r="F11">
        <v>1</v>
      </c>
      <c r="G11">
        <v>3</v>
      </c>
      <c r="H11">
        <f t="shared" si="0"/>
        <v>3</v>
      </c>
      <c r="I11">
        <f t="shared" si="1"/>
        <v>804</v>
      </c>
      <c r="J11">
        <f t="shared" si="2"/>
        <v>7</v>
      </c>
      <c r="K11">
        <v>333</v>
      </c>
      <c r="L11" t="s">
        <v>103</v>
      </c>
      <c r="M11" t="s">
        <v>104</v>
      </c>
      <c r="N11" t="s">
        <v>84</v>
      </c>
      <c r="O11" t="s">
        <v>94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18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778</v>
      </c>
      <c r="AR11">
        <v>0</v>
      </c>
      <c r="AS11">
        <v>0</v>
      </c>
      <c r="AT11">
        <v>0</v>
      </c>
      <c r="AU11">
        <v>0</v>
      </c>
      <c r="AV11">
        <v>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</row>
    <row r="12" spans="1:84" x14ac:dyDescent="0.2">
      <c r="A12" t="s">
        <v>105</v>
      </c>
      <c r="B12" s="10">
        <v>51.817749999999997</v>
      </c>
      <c r="C12" s="10">
        <v>-1.310883</v>
      </c>
      <c r="D12" t="s">
        <v>135</v>
      </c>
      <c r="E12" t="s">
        <v>96</v>
      </c>
      <c r="F12">
        <v>4</v>
      </c>
      <c r="G12">
        <v>3</v>
      </c>
      <c r="H12">
        <f t="shared" si="0"/>
        <v>12</v>
      </c>
      <c r="I12">
        <f t="shared" si="1"/>
        <v>214</v>
      </c>
      <c r="J12">
        <f t="shared" si="2"/>
        <v>13</v>
      </c>
      <c r="K12">
        <v>0</v>
      </c>
      <c r="L12" t="s">
        <v>97</v>
      </c>
      <c r="M12" t="s">
        <v>85</v>
      </c>
      <c r="N12" t="s">
        <v>84</v>
      </c>
      <c r="O12" t="s">
        <v>94</v>
      </c>
      <c r="P12">
        <v>0</v>
      </c>
      <c r="Q12">
        <v>2</v>
      </c>
      <c r="R12">
        <v>3</v>
      </c>
      <c r="S12">
        <v>5</v>
      </c>
      <c r="T12">
        <v>0</v>
      </c>
      <c r="U12">
        <v>0</v>
      </c>
      <c r="V12">
        <v>0</v>
      </c>
      <c r="W12">
        <v>41</v>
      </c>
      <c r="X12">
        <v>0</v>
      </c>
      <c r="Y12">
        <v>0</v>
      </c>
      <c r="Z12">
        <v>3</v>
      </c>
      <c r="AA12">
        <v>0</v>
      </c>
      <c r="AB12">
        <v>0</v>
      </c>
      <c r="AC12">
        <v>0</v>
      </c>
      <c r="AD12">
        <v>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123</v>
      </c>
      <c r="AR12">
        <v>1</v>
      </c>
      <c r="AS12">
        <v>2</v>
      </c>
      <c r="AT12">
        <v>0</v>
      </c>
      <c r="AU12">
        <v>0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4</v>
      </c>
      <c r="BQ12">
        <v>0</v>
      </c>
      <c r="BR12">
        <v>0</v>
      </c>
      <c r="BS12">
        <v>0</v>
      </c>
      <c r="BT12">
        <v>19</v>
      </c>
    </row>
    <row r="13" spans="1:84" x14ac:dyDescent="0.2">
      <c r="A13" t="s">
        <v>106</v>
      </c>
      <c r="B13" s="10">
        <v>51.816133000000001</v>
      </c>
      <c r="C13" s="10">
        <v>-1.3091330000000001</v>
      </c>
      <c r="D13" t="s">
        <v>135</v>
      </c>
      <c r="E13" t="s">
        <v>96</v>
      </c>
      <c r="F13">
        <v>4</v>
      </c>
      <c r="G13">
        <v>3</v>
      </c>
      <c r="H13">
        <f t="shared" si="0"/>
        <v>12</v>
      </c>
      <c r="I13">
        <f t="shared" si="1"/>
        <v>187</v>
      </c>
      <c r="J13">
        <f t="shared" si="2"/>
        <v>14</v>
      </c>
      <c r="K13">
        <v>358</v>
      </c>
      <c r="L13" t="s">
        <v>97</v>
      </c>
      <c r="M13" t="s">
        <v>85</v>
      </c>
      <c r="N13" t="s">
        <v>85</v>
      </c>
      <c r="O13" t="s">
        <v>94</v>
      </c>
      <c r="P13">
        <v>0</v>
      </c>
      <c r="Q13">
        <v>3</v>
      </c>
      <c r="R13">
        <v>6</v>
      </c>
      <c r="S13">
        <v>2</v>
      </c>
      <c r="T13">
        <v>0</v>
      </c>
      <c r="U13">
        <v>0</v>
      </c>
      <c r="V13">
        <v>0</v>
      </c>
      <c r="W13">
        <v>40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89</v>
      </c>
      <c r="AR13">
        <v>1</v>
      </c>
      <c r="AS13">
        <v>2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</v>
      </c>
      <c r="BQ13">
        <v>0</v>
      </c>
      <c r="BR13">
        <v>2</v>
      </c>
      <c r="BS13">
        <v>0</v>
      </c>
      <c r="BT13">
        <v>9</v>
      </c>
    </row>
    <row r="14" spans="1:84" x14ac:dyDescent="0.2">
      <c r="A14" t="s">
        <v>107</v>
      </c>
      <c r="B14" s="10">
        <v>51.815100000000001</v>
      </c>
      <c r="C14" s="10">
        <v>-1.307833</v>
      </c>
      <c r="D14" t="s">
        <v>135</v>
      </c>
      <c r="E14" t="s">
        <v>96</v>
      </c>
      <c r="F14">
        <v>4</v>
      </c>
      <c r="G14">
        <v>3</v>
      </c>
      <c r="H14">
        <f t="shared" si="0"/>
        <v>12</v>
      </c>
      <c r="I14">
        <f t="shared" si="1"/>
        <v>209</v>
      </c>
      <c r="J14">
        <f t="shared" si="2"/>
        <v>12</v>
      </c>
      <c r="K14">
        <v>4</v>
      </c>
      <c r="L14" t="s">
        <v>97</v>
      </c>
      <c r="M14" t="s">
        <v>84</v>
      </c>
      <c r="N14" t="s">
        <v>84</v>
      </c>
      <c r="O14" t="s">
        <v>108</v>
      </c>
      <c r="P14">
        <v>2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155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7</v>
      </c>
      <c r="BQ14">
        <v>0</v>
      </c>
      <c r="BR14">
        <v>0</v>
      </c>
      <c r="BS14">
        <v>0</v>
      </c>
      <c r="BT14">
        <v>9</v>
      </c>
    </row>
    <row r="15" spans="1:84" x14ac:dyDescent="0.2">
      <c r="A15" t="s">
        <v>109</v>
      </c>
      <c r="B15" s="10">
        <v>51.816766999999999</v>
      </c>
      <c r="C15" s="10">
        <v>-1.3060499999999999</v>
      </c>
      <c r="D15" t="s">
        <v>135</v>
      </c>
      <c r="E15" t="s">
        <v>110</v>
      </c>
      <c r="F15">
        <v>2</v>
      </c>
      <c r="G15">
        <v>2</v>
      </c>
      <c r="H15">
        <f t="shared" si="0"/>
        <v>4</v>
      </c>
      <c r="I15">
        <f t="shared" si="1"/>
        <v>200</v>
      </c>
      <c r="J15">
        <f t="shared" si="2"/>
        <v>7</v>
      </c>
      <c r="K15">
        <v>268</v>
      </c>
      <c r="L15" t="s">
        <v>92</v>
      </c>
      <c r="M15" t="s">
        <v>104</v>
      </c>
      <c r="N15" t="s">
        <v>104</v>
      </c>
      <c r="O15" t="s">
        <v>99</v>
      </c>
      <c r="P15">
        <v>0</v>
      </c>
      <c r="Q15">
        <v>0</v>
      </c>
      <c r="R15">
        <v>13</v>
      </c>
      <c r="S15">
        <v>0</v>
      </c>
      <c r="T15">
        <v>0</v>
      </c>
      <c r="U15">
        <v>0</v>
      </c>
      <c r="V15">
        <v>0</v>
      </c>
      <c r="W15">
        <v>21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153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2</v>
      </c>
      <c r="BQ15">
        <v>0</v>
      </c>
      <c r="BR15">
        <v>0</v>
      </c>
      <c r="BS15">
        <v>0</v>
      </c>
      <c r="BT15">
        <v>5</v>
      </c>
    </row>
    <row r="16" spans="1:84" x14ac:dyDescent="0.2">
      <c r="A16" t="s">
        <v>111</v>
      </c>
      <c r="B16" s="10">
        <v>51.816682999999998</v>
      </c>
      <c r="C16" s="10">
        <v>-1.305917</v>
      </c>
      <c r="D16" t="s">
        <v>135</v>
      </c>
      <c r="E16" t="s">
        <v>110</v>
      </c>
      <c r="F16">
        <v>2</v>
      </c>
      <c r="G16">
        <v>2</v>
      </c>
      <c r="H16">
        <f t="shared" si="0"/>
        <v>4</v>
      </c>
      <c r="I16">
        <f t="shared" si="1"/>
        <v>146</v>
      </c>
      <c r="J16">
        <f t="shared" si="2"/>
        <v>15</v>
      </c>
      <c r="K16">
        <v>84</v>
      </c>
      <c r="L16" t="s">
        <v>88</v>
      </c>
      <c r="M16" t="s">
        <v>104</v>
      </c>
      <c r="N16" t="s">
        <v>104</v>
      </c>
      <c r="O16" t="s">
        <v>99</v>
      </c>
      <c r="P16">
        <v>2</v>
      </c>
      <c r="Q16">
        <v>1</v>
      </c>
      <c r="R16">
        <v>9</v>
      </c>
      <c r="S16">
        <v>0</v>
      </c>
      <c r="T16">
        <v>0</v>
      </c>
      <c r="U16">
        <v>0</v>
      </c>
      <c r="V16">
        <v>1</v>
      </c>
      <c r="W16">
        <v>59</v>
      </c>
      <c r="X16">
        <v>0</v>
      </c>
      <c r="Y16">
        <v>0</v>
      </c>
      <c r="Z16">
        <v>4</v>
      </c>
      <c r="AA16">
        <v>0</v>
      </c>
      <c r="AB16">
        <v>0</v>
      </c>
      <c r="AC16">
        <v>0</v>
      </c>
      <c r="AD16">
        <v>13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33</v>
      </c>
      <c r="AR16">
        <v>2</v>
      </c>
      <c r="AS16">
        <v>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3</v>
      </c>
      <c r="BK16">
        <v>0</v>
      </c>
      <c r="BL16">
        <v>3</v>
      </c>
      <c r="BM16">
        <v>0</v>
      </c>
      <c r="BN16">
        <v>0</v>
      </c>
      <c r="BO16">
        <v>0</v>
      </c>
      <c r="BP16">
        <v>6</v>
      </c>
      <c r="BQ16">
        <v>0</v>
      </c>
      <c r="BR16">
        <v>0</v>
      </c>
      <c r="BS16">
        <v>0</v>
      </c>
      <c r="BT16">
        <v>4</v>
      </c>
    </row>
    <row r="17" spans="1:80" x14ac:dyDescent="0.2">
      <c r="A17" t="s">
        <v>112</v>
      </c>
      <c r="B17" s="10">
        <v>51.815632999999998</v>
      </c>
      <c r="C17" s="10">
        <v>-1.2991999999999999</v>
      </c>
      <c r="D17" t="s">
        <v>135</v>
      </c>
      <c r="E17" t="s">
        <v>96</v>
      </c>
      <c r="F17">
        <v>4</v>
      </c>
      <c r="G17">
        <v>3</v>
      </c>
      <c r="H17">
        <f t="shared" si="0"/>
        <v>12</v>
      </c>
      <c r="I17">
        <f t="shared" si="1"/>
        <v>245</v>
      </c>
      <c r="J17">
        <f t="shared" si="2"/>
        <v>13</v>
      </c>
      <c r="K17">
        <v>179</v>
      </c>
      <c r="L17" t="s">
        <v>83</v>
      </c>
      <c r="M17" t="s">
        <v>84</v>
      </c>
      <c r="N17" t="s">
        <v>85</v>
      </c>
      <c r="O17" t="s">
        <v>113</v>
      </c>
      <c r="P17">
        <v>0</v>
      </c>
      <c r="Q17">
        <v>4</v>
      </c>
      <c r="R17">
        <v>79</v>
      </c>
      <c r="S17">
        <v>1</v>
      </c>
      <c r="T17">
        <v>0</v>
      </c>
      <c r="U17">
        <v>0</v>
      </c>
      <c r="V17">
        <v>1</v>
      </c>
      <c r="W17">
        <v>54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58</v>
      </c>
      <c r="AR17">
        <v>0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33</v>
      </c>
      <c r="BQ17">
        <v>0</v>
      </c>
      <c r="BR17">
        <v>0</v>
      </c>
      <c r="BS17">
        <v>0</v>
      </c>
      <c r="BT17">
        <v>1</v>
      </c>
    </row>
    <row r="18" spans="1:80" x14ac:dyDescent="0.2">
      <c r="A18" t="s">
        <v>114</v>
      </c>
      <c r="B18" s="10">
        <v>51.815617000000003</v>
      </c>
      <c r="C18" s="10">
        <v>-1.3024169999999999</v>
      </c>
      <c r="D18" t="s">
        <v>135</v>
      </c>
      <c r="E18" t="s">
        <v>73</v>
      </c>
      <c r="F18">
        <v>6</v>
      </c>
      <c r="G18">
        <v>3</v>
      </c>
      <c r="H18">
        <f t="shared" si="0"/>
        <v>18</v>
      </c>
      <c r="I18">
        <f t="shared" si="1"/>
        <v>54</v>
      </c>
      <c r="J18">
        <f t="shared" si="2"/>
        <v>11</v>
      </c>
      <c r="K18">
        <v>182</v>
      </c>
      <c r="L18" t="s">
        <v>83</v>
      </c>
      <c r="M18" t="s">
        <v>85</v>
      </c>
      <c r="N18" t="s">
        <v>85</v>
      </c>
      <c r="O18" t="s">
        <v>115</v>
      </c>
      <c r="P18">
        <v>2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12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5</v>
      </c>
      <c r="BL18">
        <v>3</v>
      </c>
      <c r="BM18">
        <v>0</v>
      </c>
      <c r="BN18">
        <v>0</v>
      </c>
      <c r="BO18">
        <v>0</v>
      </c>
      <c r="BP18">
        <v>17</v>
      </c>
      <c r="BQ18">
        <v>2</v>
      </c>
      <c r="BR18">
        <v>0</v>
      </c>
      <c r="BS18">
        <v>0</v>
      </c>
      <c r="BT18">
        <v>5</v>
      </c>
    </row>
    <row r="19" spans="1:80" x14ac:dyDescent="0.2">
      <c r="A19" t="s">
        <v>116</v>
      </c>
      <c r="B19" s="10">
        <v>51.813732999999999</v>
      </c>
      <c r="C19" s="10">
        <v>-1.3007169999999999</v>
      </c>
      <c r="D19" t="s">
        <v>135</v>
      </c>
      <c r="E19" t="s">
        <v>96</v>
      </c>
      <c r="F19">
        <v>4</v>
      </c>
      <c r="G19">
        <v>2</v>
      </c>
      <c r="H19">
        <f t="shared" si="0"/>
        <v>8</v>
      </c>
      <c r="I19">
        <f t="shared" si="1"/>
        <v>134</v>
      </c>
      <c r="J19">
        <f t="shared" si="2"/>
        <v>15</v>
      </c>
      <c r="K19">
        <v>165</v>
      </c>
      <c r="L19" t="s">
        <v>83</v>
      </c>
      <c r="M19" t="s">
        <v>76</v>
      </c>
      <c r="N19" t="s">
        <v>84</v>
      </c>
      <c r="O19" t="s">
        <v>86</v>
      </c>
      <c r="P19">
        <v>4</v>
      </c>
      <c r="Q19">
        <v>49</v>
      </c>
      <c r="R19">
        <v>7</v>
      </c>
      <c r="S19">
        <v>0</v>
      </c>
      <c r="T19">
        <v>0</v>
      </c>
      <c r="U19">
        <v>6</v>
      </c>
      <c r="V19">
        <v>0</v>
      </c>
      <c r="W19">
        <v>17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3</v>
      </c>
      <c r="BI19">
        <v>0</v>
      </c>
      <c r="BJ19">
        <v>0</v>
      </c>
      <c r="BK19">
        <v>4</v>
      </c>
      <c r="BL19">
        <v>3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28</v>
      </c>
    </row>
    <row r="20" spans="1:80" x14ac:dyDescent="0.2">
      <c r="A20" t="s">
        <v>117</v>
      </c>
      <c r="B20" s="10">
        <v>51.810867000000002</v>
      </c>
      <c r="C20" s="10">
        <v>-1.3022</v>
      </c>
      <c r="D20" t="s">
        <v>135</v>
      </c>
      <c r="E20" t="s">
        <v>79</v>
      </c>
      <c r="F20">
        <v>8</v>
      </c>
      <c r="G20">
        <v>3</v>
      </c>
      <c r="H20">
        <f t="shared" si="0"/>
        <v>24</v>
      </c>
      <c r="I20">
        <f t="shared" si="1"/>
        <v>61</v>
      </c>
      <c r="J20">
        <f t="shared" si="2"/>
        <v>15</v>
      </c>
      <c r="K20">
        <v>314</v>
      </c>
      <c r="L20" t="s">
        <v>103</v>
      </c>
      <c r="M20" t="s">
        <v>118</v>
      </c>
      <c r="N20" t="s">
        <v>75</v>
      </c>
      <c r="O20" t="s">
        <v>86</v>
      </c>
      <c r="P20">
        <v>5</v>
      </c>
      <c r="Q20">
        <v>3</v>
      </c>
      <c r="R20">
        <v>9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2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4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3</v>
      </c>
      <c r="BM20">
        <v>0</v>
      </c>
      <c r="BN20">
        <v>0</v>
      </c>
      <c r="BO20">
        <v>0</v>
      </c>
      <c r="BP20">
        <v>6</v>
      </c>
      <c r="BQ20">
        <v>0</v>
      </c>
      <c r="BR20">
        <v>0</v>
      </c>
      <c r="BS20">
        <v>2</v>
      </c>
      <c r="BT20">
        <v>6</v>
      </c>
    </row>
    <row r="21" spans="1:80" x14ac:dyDescent="0.2">
      <c r="A21" t="s">
        <v>119</v>
      </c>
      <c r="B21" s="10">
        <v>51.818550000000002</v>
      </c>
      <c r="C21" s="10">
        <v>-1.2959670000000001</v>
      </c>
      <c r="D21" t="s">
        <v>135</v>
      </c>
      <c r="E21" t="s">
        <v>79</v>
      </c>
      <c r="F21">
        <v>8</v>
      </c>
      <c r="G21">
        <v>3</v>
      </c>
      <c r="H21">
        <f t="shared" si="0"/>
        <v>24</v>
      </c>
      <c r="I21">
        <f t="shared" si="1"/>
        <v>103</v>
      </c>
      <c r="J21">
        <f t="shared" si="2"/>
        <v>13</v>
      </c>
      <c r="K21">
        <v>211</v>
      </c>
      <c r="L21" t="s">
        <v>74</v>
      </c>
      <c r="M21" t="s">
        <v>118</v>
      </c>
      <c r="N21" t="s">
        <v>89</v>
      </c>
      <c r="O21" t="s">
        <v>115</v>
      </c>
      <c r="P21">
        <v>3</v>
      </c>
      <c r="Q21">
        <v>4</v>
      </c>
      <c r="R21">
        <v>20</v>
      </c>
      <c r="S21">
        <v>0</v>
      </c>
      <c r="T21">
        <v>0</v>
      </c>
      <c r="U21">
        <v>0</v>
      </c>
      <c r="V21">
        <v>0</v>
      </c>
      <c r="W21">
        <v>17</v>
      </c>
      <c r="X21">
        <v>0</v>
      </c>
      <c r="Y21">
        <v>0</v>
      </c>
      <c r="Z21">
        <v>4</v>
      </c>
      <c r="AA21">
        <v>3</v>
      </c>
      <c r="AB21">
        <v>0</v>
      </c>
      <c r="AC21">
        <v>0</v>
      </c>
      <c r="AD21">
        <v>8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25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6</v>
      </c>
      <c r="BQ21">
        <v>0</v>
      </c>
      <c r="BR21">
        <v>0</v>
      </c>
      <c r="BS21">
        <v>0</v>
      </c>
      <c r="BT21">
        <v>10</v>
      </c>
    </row>
    <row r="22" spans="1:80" x14ac:dyDescent="0.2">
      <c r="A22" t="s">
        <v>120</v>
      </c>
      <c r="B22" s="10">
        <v>51.816716999999997</v>
      </c>
      <c r="C22" s="10">
        <v>-1.293917</v>
      </c>
      <c r="D22" t="s">
        <v>135</v>
      </c>
      <c r="E22" t="s">
        <v>79</v>
      </c>
      <c r="F22">
        <v>8</v>
      </c>
      <c r="G22">
        <v>2</v>
      </c>
      <c r="H22">
        <f t="shared" si="0"/>
        <v>16</v>
      </c>
      <c r="I22">
        <f t="shared" si="1"/>
        <v>123</v>
      </c>
      <c r="J22">
        <f t="shared" si="2"/>
        <v>12</v>
      </c>
      <c r="K22">
        <v>174</v>
      </c>
      <c r="L22" t="s">
        <v>83</v>
      </c>
      <c r="M22" t="s">
        <v>89</v>
      </c>
      <c r="N22" t="s">
        <v>85</v>
      </c>
      <c r="O22" t="s">
        <v>121</v>
      </c>
      <c r="P22">
        <v>4</v>
      </c>
      <c r="Q22">
        <v>0</v>
      </c>
      <c r="R22">
        <v>5</v>
      </c>
      <c r="S22">
        <v>3</v>
      </c>
      <c r="T22">
        <v>0</v>
      </c>
      <c r="U22">
        <v>0</v>
      </c>
      <c r="V22">
        <v>0</v>
      </c>
      <c r="W22">
        <v>24</v>
      </c>
      <c r="X22">
        <v>0</v>
      </c>
      <c r="Y22">
        <v>0</v>
      </c>
      <c r="Z22">
        <v>5</v>
      </c>
      <c r="AA22">
        <v>0</v>
      </c>
      <c r="AB22">
        <v>0</v>
      </c>
      <c r="AC22">
        <v>0</v>
      </c>
      <c r="AD22">
        <v>19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49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6</v>
      </c>
      <c r="BQ22">
        <v>1</v>
      </c>
      <c r="BR22">
        <v>0</v>
      </c>
      <c r="BS22">
        <v>0</v>
      </c>
      <c r="BT22">
        <v>4</v>
      </c>
    </row>
    <row r="23" spans="1:80" x14ac:dyDescent="0.2">
      <c r="A23" t="s">
        <v>122</v>
      </c>
      <c r="B23" s="10">
        <v>51.815533000000002</v>
      </c>
      <c r="C23" s="10">
        <v>-1.2947500000000001</v>
      </c>
      <c r="D23" t="s">
        <v>135</v>
      </c>
      <c r="E23" t="s">
        <v>73</v>
      </c>
      <c r="F23">
        <v>6</v>
      </c>
      <c r="G23">
        <v>3</v>
      </c>
      <c r="H23">
        <f t="shared" si="0"/>
        <v>18</v>
      </c>
      <c r="I23">
        <f t="shared" si="1"/>
        <v>72</v>
      </c>
      <c r="J23">
        <f t="shared" si="2"/>
        <v>16</v>
      </c>
      <c r="K23">
        <v>350</v>
      </c>
      <c r="L23" t="s">
        <v>97</v>
      </c>
      <c r="M23" t="s">
        <v>89</v>
      </c>
      <c r="N23" t="s">
        <v>85</v>
      </c>
      <c r="O23" t="s">
        <v>121</v>
      </c>
      <c r="P23">
        <v>5</v>
      </c>
      <c r="Q23">
        <v>0</v>
      </c>
      <c r="R23">
        <v>23</v>
      </c>
      <c r="S23">
        <v>0</v>
      </c>
      <c r="T23">
        <v>0</v>
      </c>
      <c r="U23">
        <v>0</v>
      </c>
      <c r="V23">
        <v>0</v>
      </c>
      <c r="W23">
        <v>2</v>
      </c>
      <c r="X23">
        <v>0</v>
      </c>
      <c r="Y23">
        <v>0</v>
      </c>
      <c r="Z23">
        <v>2</v>
      </c>
      <c r="AA23">
        <v>2</v>
      </c>
      <c r="AB23">
        <v>0</v>
      </c>
      <c r="AC23">
        <v>0</v>
      </c>
      <c r="AD23">
        <v>17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6</v>
      </c>
      <c r="AR23">
        <v>0</v>
      </c>
      <c r="AS23">
        <v>2</v>
      </c>
      <c r="AT23">
        <v>0</v>
      </c>
      <c r="AU23">
        <v>0</v>
      </c>
      <c r="AV23">
        <v>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3</v>
      </c>
      <c r="BQ23">
        <v>2</v>
      </c>
      <c r="BR23">
        <v>0</v>
      </c>
      <c r="BS23">
        <v>0</v>
      </c>
      <c r="BT23">
        <v>1</v>
      </c>
    </row>
    <row r="24" spans="1:80" x14ac:dyDescent="0.2">
      <c r="A24" s="12" t="s">
        <v>123</v>
      </c>
      <c r="B24" s="10">
        <v>51.815832999999998</v>
      </c>
      <c r="C24" s="10">
        <v>-1.29295</v>
      </c>
      <c r="D24" t="s">
        <v>135</v>
      </c>
      <c r="E24" t="s">
        <v>73</v>
      </c>
      <c r="F24">
        <v>6</v>
      </c>
      <c r="G24">
        <v>3</v>
      </c>
      <c r="H24">
        <f t="shared" si="0"/>
        <v>18</v>
      </c>
      <c r="I24">
        <f t="shared" si="1"/>
        <v>0</v>
      </c>
      <c r="J24">
        <f t="shared" si="2"/>
        <v>0</v>
      </c>
      <c r="K24">
        <v>161</v>
      </c>
      <c r="L24" t="s">
        <v>124</v>
      </c>
      <c r="M24" t="s">
        <v>76</v>
      </c>
      <c r="N24" t="s">
        <v>85</v>
      </c>
      <c r="O24" t="s">
        <v>121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80" x14ac:dyDescent="0.2">
      <c r="A25" t="s">
        <v>125</v>
      </c>
      <c r="B25" s="10">
        <v>51.815133000000003</v>
      </c>
      <c r="C25" s="10">
        <v>-1.2927</v>
      </c>
      <c r="D25" t="s">
        <v>135</v>
      </c>
      <c r="E25" t="s">
        <v>79</v>
      </c>
      <c r="F25">
        <v>8</v>
      </c>
      <c r="G25">
        <v>3</v>
      </c>
      <c r="H25">
        <f t="shared" si="0"/>
        <v>24</v>
      </c>
      <c r="I25">
        <f t="shared" si="1"/>
        <v>148</v>
      </c>
      <c r="J25">
        <f t="shared" si="2"/>
        <v>14</v>
      </c>
      <c r="K25">
        <v>287</v>
      </c>
      <c r="L25" t="s">
        <v>92</v>
      </c>
      <c r="M25" t="s">
        <v>81</v>
      </c>
      <c r="N25" t="s">
        <v>89</v>
      </c>
      <c r="O25" t="s">
        <v>121</v>
      </c>
      <c r="P25">
        <v>7</v>
      </c>
      <c r="Q25">
        <v>0</v>
      </c>
      <c r="R25">
        <v>12</v>
      </c>
      <c r="S25">
        <v>1</v>
      </c>
      <c r="T25">
        <v>0</v>
      </c>
      <c r="U25">
        <v>0</v>
      </c>
      <c r="V25">
        <v>0</v>
      </c>
      <c r="W25">
        <v>17</v>
      </c>
      <c r="X25">
        <v>0</v>
      </c>
      <c r="Y25">
        <v>0</v>
      </c>
      <c r="Z25">
        <v>6</v>
      </c>
      <c r="AA25">
        <v>0</v>
      </c>
      <c r="AB25">
        <v>0</v>
      </c>
      <c r="AC25">
        <v>0</v>
      </c>
      <c r="AD25">
        <v>61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21</v>
      </c>
      <c r="AR25">
        <v>9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4</v>
      </c>
      <c r="BQ25">
        <v>0</v>
      </c>
      <c r="BR25">
        <v>0</v>
      </c>
      <c r="BS25">
        <v>1</v>
      </c>
      <c r="BT25">
        <v>3</v>
      </c>
    </row>
    <row r="26" spans="1:80" x14ac:dyDescent="0.2">
      <c r="A26" t="s">
        <v>126</v>
      </c>
      <c r="B26" s="10">
        <v>51.815100000000001</v>
      </c>
      <c r="C26" s="10">
        <v>-1.2924329999999999</v>
      </c>
      <c r="D26" t="s">
        <v>135</v>
      </c>
      <c r="E26" t="s">
        <v>79</v>
      </c>
      <c r="F26">
        <v>8</v>
      </c>
      <c r="G26">
        <v>3</v>
      </c>
      <c r="H26">
        <f t="shared" si="0"/>
        <v>24</v>
      </c>
      <c r="I26">
        <f t="shared" si="1"/>
        <v>232</v>
      </c>
      <c r="J26">
        <f t="shared" si="2"/>
        <v>17</v>
      </c>
      <c r="K26">
        <v>117</v>
      </c>
      <c r="L26" t="s">
        <v>80</v>
      </c>
      <c r="M26" t="s">
        <v>81</v>
      </c>
      <c r="N26" t="s">
        <v>89</v>
      </c>
      <c r="O26" t="s">
        <v>113</v>
      </c>
      <c r="P26">
        <v>3</v>
      </c>
      <c r="Q26">
        <v>4</v>
      </c>
      <c r="R26">
        <v>29</v>
      </c>
      <c r="S26">
        <v>3</v>
      </c>
      <c r="T26">
        <v>0</v>
      </c>
      <c r="U26">
        <v>7</v>
      </c>
      <c r="V26">
        <v>0</v>
      </c>
      <c r="W26">
        <v>49</v>
      </c>
      <c r="X26">
        <v>1</v>
      </c>
      <c r="Y26">
        <v>0</v>
      </c>
      <c r="Z26">
        <v>10</v>
      </c>
      <c r="AA26">
        <v>0</v>
      </c>
      <c r="AB26">
        <v>0</v>
      </c>
      <c r="AC26">
        <v>0</v>
      </c>
      <c r="AD26">
        <v>17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57</v>
      </c>
      <c r="AR26">
        <v>24</v>
      </c>
      <c r="AS26">
        <v>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0</v>
      </c>
      <c r="BE26">
        <v>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10</v>
      </c>
    </row>
    <row r="27" spans="1:80" x14ac:dyDescent="0.2">
      <c r="A27" t="s">
        <v>127</v>
      </c>
      <c r="B27" s="10">
        <v>51.812600000000003</v>
      </c>
      <c r="C27" s="10">
        <v>-1.293833</v>
      </c>
      <c r="D27" t="s">
        <v>135</v>
      </c>
      <c r="E27" t="s">
        <v>79</v>
      </c>
      <c r="F27">
        <v>8</v>
      </c>
      <c r="G27">
        <v>3</v>
      </c>
      <c r="H27">
        <f t="shared" si="0"/>
        <v>24</v>
      </c>
      <c r="I27">
        <f t="shared" si="1"/>
        <v>87</v>
      </c>
      <c r="J27">
        <f t="shared" si="2"/>
        <v>12</v>
      </c>
      <c r="K27">
        <v>102</v>
      </c>
      <c r="L27" t="s">
        <v>88</v>
      </c>
      <c r="M27" t="s">
        <v>89</v>
      </c>
      <c r="N27" t="s">
        <v>75</v>
      </c>
      <c r="O27" t="s">
        <v>113</v>
      </c>
      <c r="P27">
        <v>0</v>
      </c>
      <c r="Q27">
        <v>3</v>
      </c>
      <c r="R27">
        <v>13</v>
      </c>
      <c r="S27">
        <v>0</v>
      </c>
      <c r="T27">
        <v>0</v>
      </c>
      <c r="U27">
        <v>1</v>
      </c>
      <c r="V27">
        <v>0</v>
      </c>
      <c r="W27">
        <v>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24</v>
      </c>
      <c r="AR27">
        <v>2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</v>
      </c>
      <c r="BD27">
        <v>0</v>
      </c>
      <c r="BE27">
        <v>0</v>
      </c>
      <c r="BF27">
        <v>0</v>
      </c>
      <c r="BG27">
        <v>0</v>
      </c>
      <c r="BH27">
        <v>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24</v>
      </c>
    </row>
    <row r="28" spans="1:80" x14ac:dyDescent="0.2">
      <c r="A28" t="s">
        <v>128</v>
      </c>
      <c r="B28" s="10">
        <v>51.809583000000003</v>
      </c>
      <c r="C28" s="10">
        <v>-1.2956669999999999</v>
      </c>
      <c r="D28" t="s">
        <v>135</v>
      </c>
      <c r="E28" t="s">
        <v>79</v>
      </c>
      <c r="F28">
        <v>8</v>
      </c>
      <c r="G28">
        <v>3</v>
      </c>
      <c r="H28">
        <f t="shared" si="0"/>
        <v>24</v>
      </c>
      <c r="I28">
        <f t="shared" si="1"/>
        <v>86</v>
      </c>
      <c r="J28">
        <f t="shared" si="2"/>
        <v>12</v>
      </c>
      <c r="K28">
        <v>98</v>
      </c>
      <c r="L28" t="s">
        <v>88</v>
      </c>
      <c r="M28" t="s">
        <v>75</v>
      </c>
      <c r="N28" t="s">
        <v>75</v>
      </c>
      <c r="O28" t="s">
        <v>113</v>
      </c>
      <c r="P28">
        <v>0</v>
      </c>
      <c r="Q28">
        <v>5</v>
      </c>
      <c r="R28">
        <v>14</v>
      </c>
      <c r="S28">
        <v>0</v>
      </c>
      <c r="T28">
        <v>0</v>
      </c>
      <c r="U28">
        <v>0</v>
      </c>
      <c r="V28">
        <v>1</v>
      </c>
      <c r="W28">
        <v>6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38</v>
      </c>
    </row>
    <row r="29" spans="1:80" x14ac:dyDescent="0.2">
      <c r="A29" t="s">
        <v>129</v>
      </c>
      <c r="B29" s="10">
        <v>51.807749999999999</v>
      </c>
      <c r="C29" s="10">
        <v>-1.29295</v>
      </c>
      <c r="D29" t="s">
        <v>135</v>
      </c>
      <c r="E29" t="s">
        <v>79</v>
      </c>
      <c r="F29">
        <v>8</v>
      </c>
      <c r="G29">
        <v>2</v>
      </c>
      <c r="H29">
        <f t="shared" si="0"/>
        <v>16</v>
      </c>
      <c r="I29">
        <f t="shared" si="1"/>
        <v>185</v>
      </c>
      <c r="J29">
        <f t="shared" si="2"/>
        <v>18</v>
      </c>
      <c r="K29">
        <v>285</v>
      </c>
      <c r="L29" t="s">
        <v>92</v>
      </c>
      <c r="M29" t="s">
        <v>75</v>
      </c>
      <c r="N29" t="s">
        <v>89</v>
      </c>
      <c r="O29" t="s">
        <v>113</v>
      </c>
      <c r="P29">
        <v>1</v>
      </c>
      <c r="Q29">
        <v>2</v>
      </c>
      <c r="R29">
        <v>9</v>
      </c>
      <c r="S29">
        <v>1</v>
      </c>
      <c r="T29">
        <v>0</v>
      </c>
      <c r="U29">
        <v>0</v>
      </c>
      <c r="V29">
        <v>0</v>
      </c>
      <c r="W29">
        <v>24</v>
      </c>
      <c r="X29">
        <v>0</v>
      </c>
      <c r="Y29">
        <v>0</v>
      </c>
      <c r="Z29">
        <v>12</v>
      </c>
      <c r="AA29">
        <v>0</v>
      </c>
      <c r="AB29">
        <v>0</v>
      </c>
      <c r="AC29">
        <v>0</v>
      </c>
      <c r="AD29">
        <v>65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32</v>
      </c>
      <c r="AR29">
        <v>3</v>
      </c>
      <c r="AS29">
        <v>0</v>
      </c>
      <c r="AT29">
        <v>0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3</v>
      </c>
      <c r="BM29">
        <v>0</v>
      </c>
      <c r="BN29">
        <v>0</v>
      </c>
      <c r="BO29">
        <v>0</v>
      </c>
      <c r="BP29">
        <v>2</v>
      </c>
      <c r="BQ29">
        <v>2</v>
      </c>
      <c r="BR29">
        <v>0</v>
      </c>
      <c r="BS29">
        <v>1</v>
      </c>
      <c r="BT29">
        <v>24</v>
      </c>
    </row>
    <row r="30" spans="1:80" x14ac:dyDescent="0.2">
      <c r="A30" t="s">
        <v>130</v>
      </c>
      <c r="B30" s="10">
        <v>51.808599999999998</v>
      </c>
      <c r="C30" s="10">
        <v>-1.288683</v>
      </c>
      <c r="D30" t="s">
        <v>135</v>
      </c>
      <c r="E30" t="s">
        <v>73</v>
      </c>
      <c r="F30">
        <v>6</v>
      </c>
      <c r="G30">
        <v>3</v>
      </c>
      <c r="H30">
        <f t="shared" si="0"/>
        <v>18</v>
      </c>
      <c r="I30">
        <f t="shared" si="1"/>
        <v>121</v>
      </c>
      <c r="J30">
        <f t="shared" si="2"/>
        <v>12</v>
      </c>
      <c r="K30">
        <v>274</v>
      </c>
      <c r="L30" t="s">
        <v>92</v>
      </c>
      <c r="M30" t="s">
        <v>76</v>
      </c>
      <c r="N30" t="s">
        <v>89</v>
      </c>
      <c r="O30" t="s">
        <v>113</v>
      </c>
      <c r="P30">
        <v>1</v>
      </c>
      <c r="Q30">
        <v>0</v>
      </c>
      <c r="R30">
        <v>17</v>
      </c>
      <c r="S30">
        <v>1</v>
      </c>
      <c r="T30">
        <v>0</v>
      </c>
      <c r="U30">
        <v>0</v>
      </c>
      <c r="V30">
        <v>0</v>
      </c>
      <c r="W30">
        <v>21</v>
      </c>
      <c r="X30">
        <v>0</v>
      </c>
      <c r="Y30">
        <v>1</v>
      </c>
      <c r="Z30">
        <v>2</v>
      </c>
      <c r="AA30">
        <v>0</v>
      </c>
      <c r="AB30">
        <v>0</v>
      </c>
      <c r="AC30">
        <v>0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20</v>
      </c>
      <c r="AR30">
        <v>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29</v>
      </c>
    </row>
    <row r="31" spans="1:80" x14ac:dyDescent="0.2">
      <c r="A31" t="s">
        <v>131</v>
      </c>
      <c r="B31" s="10">
        <v>51.811216999999999</v>
      </c>
      <c r="C31" s="10">
        <v>-1.2882830000000001</v>
      </c>
      <c r="D31" t="s">
        <v>135</v>
      </c>
      <c r="E31" t="s">
        <v>73</v>
      </c>
      <c r="F31">
        <v>6</v>
      </c>
      <c r="G31">
        <v>3</v>
      </c>
      <c r="H31">
        <f t="shared" si="0"/>
        <v>18</v>
      </c>
      <c r="I31">
        <f t="shared" si="1"/>
        <v>271</v>
      </c>
      <c r="J31">
        <f t="shared" si="2"/>
        <v>14</v>
      </c>
      <c r="K31">
        <v>278</v>
      </c>
      <c r="L31" t="s">
        <v>92</v>
      </c>
      <c r="M31" t="s">
        <v>76</v>
      </c>
      <c r="N31" t="s">
        <v>75</v>
      </c>
      <c r="O31" t="s">
        <v>113</v>
      </c>
      <c r="P31">
        <v>0</v>
      </c>
      <c r="Q31">
        <v>4</v>
      </c>
      <c r="R31">
        <v>21</v>
      </c>
      <c r="S31">
        <v>1</v>
      </c>
      <c r="T31">
        <v>0</v>
      </c>
      <c r="U31">
        <v>0</v>
      </c>
      <c r="V31">
        <v>0</v>
      </c>
      <c r="W31">
        <v>86</v>
      </c>
      <c r="X31">
        <v>0</v>
      </c>
      <c r="Y31">
        <v>0</v>
      </c>
      <c r="Z31">
        <v>3</v>
      </c>
      <c r="AA31">
        <v>0</v>
      </c>
      <c r="AB31">
        <v>0</v>
      </c>
      <c r="AC31">
        <v>0</v>
      </c>
      <c r="AD31">
        <v>16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85</v>
      </c>
      <c r="AR31">
        <v>3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9</v>
      </c>
      <c r="BQ31">
        <v>0</v>
      </c>
      <c r="BR31">
        <v>0</v>
      </c>
      <c r="BS31">
        <v>0</v>
      </c>
      <c r="BT31">
        <v>39</v>
      </c>
    </row>
    <row r="32" spans="1:80" x14ac:dyDescent="0.2">
      <c r="A32" t="s">
        <v>72</v>
      </c>
      <c r="B32" s="10">
        <v>51.822099999999999</v>
      </c>
      <c r="C32" s="10">
        <v>-1.2992330000000001</v>
      </c>
      <c r="D32" t="s">
        <v>136</v>
      </c>
      <c r="E32" t="s">
        <v>73</v>
      </c>
      <c r="F32">
        <v>6</v>
      </c>
      <c r="G32">
        <v>3</v>
      </c>
      <c r="H32">
        <f t="shared" si="0"/>
        <v>18</v>
      </c>
      <c r="I32">
        <f t="shared" si="1"/>
        <v>33</v>
      </c>
      <c r="J32">
        <f t="shared" si="2"/>
        <v>8</v>
      </c>
      <c r="K32" s="11">
        <v>225</v>
      </c>
      <c r="L32" t="s">
        <v>74</v>
      </c>
      <c r="M32" t="s">
        <v>75</v>
      </c>
      <c r="N32" t="s">
        <v>76</v>
      </c>
      <c r="O32" t="s">
        <v>77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>
        <v>0</v>
      </c>
      <c r="W32">
        <v>4</v>
      </c>
      <c r="X32">
        <v>0</v>
      </c>
      <c r="Y32">
        <v>1</v>
      </c>
      <c r="Z32">
        <v>11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7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CB32" s="11"/>
    </row>
    <row r="33" spans="1:72" x14ac:dyDescent="0.2">
      <c r="A33" t="s">
        <v>78</v>
      </c>
      <c r="B33" s="10">
        <v>51.822516999999998</v>
      </c>
      <c r="C33" s="10">
        <v>-1.3022499999999999</v>
      </c>
      <c r="D33" t="s">
        <v>136</v>
      </c>
      <c r="E33" t="s">
        <v>79</v>
      </c>
      <c r="F33">
        <v>8</v>
      </c>
      <c r="G33">
        <v>3</v>
      </c>
      <c r="H33">
        <f t="shared" si="0"/>
        <v>24</v>
      </c>
      <c r="I33">
        <f t="shared" si="1"/>
        <v>84</v>
      </c>
      <c r="J33">
        <f t="shared" si="2"/>
        <v>15</v>
      </c>
      <c r="K33">
        <v>150</v>
      </c>
      <c r="L33" t="s">
        <v>80</v>
      </c>
      <c r="M33" t="s">
        <v>81</v>
      </c>
      <c r="N33" t="s">
        <v>75</v>
      </c>
      <c r="O33" t="s">
        <v>77</v>
      </c>
      <c r="P33">
        <v>2</v>
      </c>
      <c r="Q33">
        <v>0</v>
      </c>
      <c r="R33">
        <v>5</v>
      </c>
      <c r="S33">
        <v>1</v>
      </c>
      <c r="T33">
        <v>0</v>
      </c>
      <c r="U33">
        <v>0</v>
      </c>
      <c r="V33">
        <v>0</v>
      </c>
      <c r="W33">
        <v>6</v>
      </c>
      <c r="X33">
        <v>0</v>
      </c>
      <c r="Y33">
        <v>0</v>
      </c>
      <c r="Z33">
        <v>7</v>
      </c>
      <c r="AA33">
        <v>0</v>
      </c>
      <c r="AB33">
        <v>0</v>
      </c>
      <c r="AC33">
        <v>0</v>
      </c>
      <c r="AD33">
        <v>10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19</v>
      </c>
      <c r="AR33">
        <v>17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2</v>
      </c>
      <c r="BQ33">
        <v>0</v>
      </c>
      <c r="BR33">
        <v>0</v>
      </c>
      <c r="BS33">
        <v>0</v>
      </c>
      <c r="BT33">
        <v>10</v>
      </c>
    </row>
    <row r="34" spans="1:72" x14ac:dyDescent="0.2">
      <c r="A34" t="s">
        <v>82</v>
      </c>
      <c r="B34" s="10">
        <v>51.823616999999999</v>
      </c>
      <c r="C34" s="10">
        <v>-1.3056000000000001</v>
      </c>
      <c r="D34" t="s">
        <v>136</v>
      </c>
      <c r="E34" t="s">
        <v>73</v>
      </c>
      <c r="F34">
        <v>6</v>
      </c>
      <c r="G34">
        <v>3</v>
      </c>
      <c r="H34">
        <f t="shared" si="0"/>
        <v>18</v>
      </c>
      <c r="I34">
        <f t="shared" si="1"/>
        <v>85</v>
      </c>
      <c r="J34">
        <f t="shared" si="2"/>
        <v>12</v>
      </c>
      <c r="K34">
        <v>179</v>
      </c>
      <c r="L34" t="s">
        <v>83</v>
      </c>
      <c r="M34" t="s">
        <v>84</v>
      </c>
      <c r="N34" t="s">
        <v>85</v>
      </c>
      <c r="O34" t="s">
        <v>86</v>
      </c>
      <c r="P34">
        <v>1</v>
      </c>
      <c r="Q34">
        <v>0</v>
      </c>
      <c r="R34">
        <v>8</v>
      </c>
      <c r="S34">
        <v>0</v>
      </c>
      <c r="T34">
        <v>0</v>
      </c>
      <c r="U34">
        <v>0</v>
      </c>
      <c r="V34">
        <v>0</v>
      </c>
      <c r="W34">
        <v>8</v>
      </c>
      <c r="X34">
        <v>0</v>
      </c>
      <c r="Y34">
        <v>0</v>
      </c>
      <c r="Z34">
        <v>10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34</v>
      </c>
      <c r="AR34">
        <v>14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2</v>
      </c>
      <c r="BQ34">
        <v>0</v>
      </c>
      <c r="BR34">
        <v>0</v>
      </c>
      <c r="BS34">
        <v>0</v>
      </c>
      <c r="BT34">
        <v>4</v>
      </c>
    </row>
    <row r="35" spans="1:72" x14ac:dyDescent="0.2">
      <c r="A35" t="s">
        <v>87</v>
      </c>
      <c r="B35" s="10">
        <v>51.822032999999998</v>
      </c>
      <c r="C35" s="10">
        <v>-1.30945</v>
      </c>
      <c r="D35" t="s">
        <v>136</v>
      </c>
      <c r="E35" t="s">
        <v>73</v>
      </c>
      <c r="F35">
        <v>6</v>
      </c>
      <c r="G35">
        <v>3</v>
      </c>
      <c r="H35">
        <f t="shared" si="0"/>
        <v>18</v>
      </c>
      <c r="I35">
        <f t="shared" si="1"/>
        <v>214</v>
      </c>
      <c r="J35">
        <f t="shared" si="2"/>
        <v>20</v>
      </c>
      <c r="K35">
        <v>88</v>
      </c>
      <c r="L35" t="s">
        <v>88</v>
      </c>
      <c r="M35" t="s">
        <v>81</v>
      </c>
      <c r="N35" t="s">
        <v>89</v>
      </c>
      <c r="O35" t="s">
        <v>86</v>
      </c>
      <c r="P35">
        <v>2</v>
      </c>
      <c r="Q35">
        <v>1</v>
      </c>
      <c r="R35">
        <v>6</v>
      </c>
      <c r="S35">
        <v>1</v>
      </c>
      <c r="T35">
        <v>0</v>
      </c>
      <c r="U35">
        <v>0</v>
      </c>
      <c r="V35">
        <v>0</v>
      </c>
      <c r="W35">
        <v>87</v>
      </c>
      <c r="X35">
        <v>1</v>
      </c>
      <c r="Y35">
        <v>0</v>
      </c>
      <c r="Z35">
        <v>15</v>
      </c>
      <c r="AA35">
        <v>0</v>
      </c>
      <c r="AB35">
        <v>0</v>
      </c>
      <c r="AC35">
        <v>0</v>
      </c>
      <c r="AD35">
        <v>19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54</v>
      </c>
      <c r="AR35">
        <v>5</v>
      </c>
      <c r="AS35">
        <v>3</v>
      </c>
      <c r="AT35">
        <v>0</v>
      </c>
      <c r="AU35">
        <v>0</v>
      </c>
      <c r="AV35">
        <v>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4</v>
      </c>
      <c r="BI35">
        <v>0</v>
      </c>
      <c r="BJ35">
        <v>2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2</v>
      </c>
      <c r="BQ35">
        <v>0</v>
      </c>
      <c r="BR35">
        <v>0</v>
      </c>
      <c r="BS35">
        <v>0</v>
      </c>
      <c r="BT35">
        <v>5</v>
      </c>
    </row>
    <row r="36" spans="1:72" x14ac:dyDescent="0.2">
      <c r="A36" t="s">
        <v>90</v>
      </c>
      <c r="B36" s="10">
        <v>51.820900000000002</v>
      </c>
      <c r="C36" s="10">
        <v>-1.3093669999999999</v>
      </c>
      <c r="D36" t="s">
        <v>136</v>
      </c>
      <c r="E36" t="s">
        <v>91</v>
      </c>
      <c r="F36">
        <v>2</v>
      </c>
      <c r="G36">
        <v>2</v>
      </c>
      <c r="H36">
        <f t="shared" si="0"/>
        <v>4</v>
      </c>
      <c r="I36">
        <f t="shared" si="1"/>
        <v>94</v>
      </c>
      <c r="J36">
        <f t="shared" si="2"/>
        <v>16</v>
      </c>
      <c r="K36">
        <v>255</v>
      </c>
      <c r="L36" t="s">
        <v>92</v>
      </c>
      <c r="M36" t="s">
        <v>85</v>
      </c>
      <c r="N36" t="s">
        <v>84</v>
      </c>
      <c r="O36" t="s">
        <v>86</v>
      </c>
      <c r="P36">
        <v>2</v>
      </c>
      <c r="Q36">
        <v>3</v>
      </c>
      <c r="R36">
        <v>5</v>
      </c>
      <c r="S36">
        <v>0</v>
      </c>
      <c r="T36">
        <v>0</v>
      </c>
      <c r="U36">
        <v>0</v>
      </c>
      <c r="V36">
        <v>0</v>
      </c>
      <c r="W36">
        <v>46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5</v>
      </c>
      <c r="AR36">
        <v>3</v>
      </c>
      <c r="AS36">
        <v>3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1</v>
      </c>
      <c r="BR36">
        <v>0</v>
      </c>
      <c r="BS36">
        <v>0</v>
      </c>
      <c r="BT36">
        <v>12</v>
      </c>
    </row>
    <row r="37" spans="1:72" x14ac:dyDescent="0.2">
      <c r="A37" t="s">
        <v>93</v>
      </c>
      <c r="B37" s="10">
        <v>51.818367000000002</v>
      </c>
      <c r="C37" s="10">
        <v>-1.3125830000000001</v>
      </c>
      <c r="D37" t="s">
        <v>136</v>
      </c>
      <c r="E37" t="s">
        <v>73</v>
      </c>
      <c r="F37">
        <v>6</v>
      </c>
      <c r="G37">
        <v>2</v>
      </c>
      <c r="H37">
        <f t="shared" si="0"/>
        <v>12</v>
      </c>
      <c r="I37">
        <f t="shared" si="1"/>
        <v>388</v>
      </c>
      <c r="J37">
        <f t="shared" si="2"/>
        <v>10</v>
      </c>
      <c r="K37">
        <v>255</v>
      </c>
      <c r="L37" t="s">
        <v>92</v>
      </c>
      <c r="M37" t="s">
        <v>75</v>
      </c>
      <c r="N37" t="s">
        <v>85</v>
      </c>
      <c r="O37" t="s">
        <v>94</v>
      </c>
      <c r="P37">
        <v>0</v>
      </c>
      <c r="Q37">
        <v>0</v>
      </c>
      <c r="R37">
        <v>6</v>
      </c>
      <c r="S37">
        <v>1</v>
      </c>
      <c r="T37">
        <v>0</v>
      </c>
      <c r="U37">
        <v>0</v>
      </c>
      <c r="V37">
        <v>0</v>
      </c>
      <c r="W37">
        <v>156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190</v>
      </c>
      <c r="AR37">
        <v>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19</v>
      </c>
      <c r="BQ37">
        <v>0</v>
      </c>
      <c r="BR37">
        <v>0</v>
      </c>
      <c r="BS37">
        <v>0</v>
      </c>
      <c r="BT37">
        <v>11</v>
      </c>
    </row>
    <row r="38" spans="1:72" x14ac:dyDescent="0.2">
      <c r="A38" t="s">
        <v>95</v>
      </c>
      <c r="B38" s="10">
        <v>51.817667</v>
      </c>
      <c r="C38" s="10">
        <v>-1.314683</v>
      </c>
      <c r="D38" t="s">
        <v>136</v>
      </c>
      <c r="E38" t="s">
        <v>96</v>
      </c>
      <c r="F38">
        <v>4</v>
      </c>
      <c r="G38">
        <v>3</v>
      </c>
      <c r="H38">
        <f t="shared" si="0"/>
        <v>12</v>
      </c>
      <c r="I38">
        <f t="shared" si="1"/>
        <v>62</v>
      </c>
      <c r="J38">
        <f t="shared" si="2"/>
        <v>11</v>
      </c>
      <c r="K38">
        <v>2</v>
      </c>
      <c r="L38" t="s">
        <v>97</v>
      </c>
      <c r="M38" t="s">
        <v>84</v>
      </c>
      <c r="N38" t="s">
        <v>84</v>
      </c>
      <c r="O38" t="s">
        <v>94</v>
      </c>
      <c r="P38">
        <v>0</v>
      </c>
      <c r="Q38">
        <v>0</v>
      </c>
      <c r="R38">
        <v>4</v>
      </c>
      <c r="S38">
        <v>0</v>
      </c>
      <c r="T38">
        <v>0</v>
      </c>
      <c r="U38">
        <v>0</v>
      </c>
      <c r="V38">
        <v>0</v>
      </c>
      <c r="W38">
        <v>9</v>
      </c>
      <c r="X38">
        <v>0</v>
      </c>
      <c r="Y38">
        <v>0</v>
      </c>
      <c r="Z38">
        <v>5</v>
      </c>
      <c r="AA38">
        <v>0</v>
      </c>
      <c r="AB38">
        <v>0</v>
      </c>
      <c r="AC38">
        <v>0</v>
      </c>
      <c r="AD38">
        <v>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25</v>
      </c>
      <c r="AR38">
        <v>3</v>
      </c>
      <c r="AS38">
        <v>1</v>
      </c>
      <c r="AT38">
        <v>0</v>
      </c>
      <c r="AU38">
        <v>0</v>
      </c>
      <c r="AV38">
        <v>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4</v>
      </c>
    </row>
    <row r="39" spans="1:72" x14ac:dyDescent="0.2">
      <c r="A39" t="s">
        <v>98</v>
      </c>
      <c r="B39" s="10">
        <v>51.817332999999998</v>
      </c>
      <c r="C39" s="10">
        <v>-1.3145</v>
      </c>
      <c r="D39" t="s">
        <v>136</v>
      </c>
      <c r="E39" t="s">
        <v>73</v>
      </c>
      <c r="F39">
        <v>6</v>
      </c>
      <c r="G39">
        <v>3</v>
      </c>
      <c r="H39">
        <f t="shared" si="0"/>
        <v>18</v>
      </c>
      <c r="I39">
        <f t="shared" si="1"/>
        <v>199</v>
      </c>
      <c r="J39">
        <f t="shared" si="2"/>
        <v>18</v>
      </c>
      <c r="K39">
        <v>171</v>
      </c>
      <c r="L39" t="s">
        <v>83</v>
      </c>
      <c r="M39" t="s">
        <v>81</v>
      </c>
      <c r="N39" t="s">
        <v>89</v>
      </c>
      <c r="O39" t="s">
        <v>99</v>
      </c>
      <c r="P39">
        <v>1</v>
      </c>
      <c r="Q39">
        <v>2</v>
      </c>
      <c r="R39">
        <v>8</v>
      </c>
      <c r="S39">
        <v>1</v>
      </c>
      <c r="T39">
        <v>0</v>
      </c>
      <c r="U39">
        <v>0</v>
      </c>
      <c r="V39">
        <v>1</v>
      </c>
      <c r="W39">
        <v>33</v>
      </c>
      <c r="X39">
        <v>0</v>
      </c>
      <c r="Y39">
        <v>0</v>
      </c>
      <c r="Z39">
        <v>3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123</v>
      </c>
      <c r="AR39">
        <v>3</v>
      </c>
      <c r="AS39">
        <v>2</v>
      </c>
      <c r="AT39">
        <v>0</v>
      </c>
      <c r="AU39">
        <v>0</v>
      </c>
      <c r="AV39">
        <v>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2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3</v>
      </c>
      <c r="BQ39">
        <v>2</v>
      </c>
      <c r="BR39">
        <v>0</v>
      </c>
      <c r="BS39">
        <v>0</v>
      </c>
      <c r="BT39">
        <v>10</v>
      </c>
    </row>
    <row r="40" spans="1:72" x14ac:dyDescent="0.2">
      <c r="A40" t="s">
        <v>100</v>
      </c>
      <c r="B40" s="10">
        <v>51.816682999999998</v>
      </c>
      <c r="C40" s="10">
        <v>-1.31325</v>
      </c>
      <c r="D40" t="s">
        <v>136</v>
      </c>
      <c r="E40" t="s">
        <v>73</v>
      </c>
      <c r="F40">
        <v>6</v>
      </c>
      <c r="G40">
        <v>2</v>
      </c>
      <c r="H40">
        <f t="shared" si="0"/>
        <v>12</v>
      </c>
      <c r="I40">
        <f t="shared" si="1"/>
        <v>292</v>
      </c>
      <c r="J40">
        <f t="shared" si="2"/>
        <v>16</v>
      </c>
      <c r="K40">
        <v>268</v>
      </c>
      <c r="L40" t="s">
        <v>92</v>
      </c>
      <c r="M40" t="s">
        <v>75</v>
      </c>
      <c r="N40" t="s">
        <v>89</v>
      </c>
      <c r="O40" t="s">
        <v>94</v>
      </c>
      <c r="P40">
        <v>2</v>
      </c>
      <c r="Q40">
        <v>0</v>
      </c>
      <c r="R40">
        <v>8</v>
      </c>
      <c r="S40">
        <v>0</v>
      </c>
      <c r="T40">
        <v>0</v>
      </c>
      <c r="U40">
        <v>0</v>
      </c>
      <c r="V40">
        <v>1</v>
      </c>
      <c r="W40">
        <v>190</v>
      </c>
      <c r="X40">
        <v>0</v>
      </c>
      <c r="Y40">
        <v>0</v>
      </c>
      <c r="Z40">
        <v>22</v>
      </c>
      <c r="AA40">
        <v>0</v>
      </c>
      <c r="AB40">
        <v>0</v>
      </c>
      <c r="AC40">
        <v>0</v>
      </c>
      <c r="AD40">
        <v>8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38</v>
      </c>
      <c r="AR40">
        <v>7</v>
      </c>
      <c r="AS40">
        <v>3</v>
      </c>
      <c r="AT40">
        <v>0</v>
      </c>
      <c r="AU40">
        <v>0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5</v>
      </c>
      <c r="BQ40">
        <v>0</v>
      </c>
      <c r="BR40">
        <v>0</v>
      </c>
      <c r="BS40">
        <v>0</v>
      </c>
      <c r="BT40">
        <v>1</v>
      </c>
    </row>
    <row r="41" spans="1:72" x14ac:dyDescent="0.2">
      <c r="A41" t="s">
        <v>101</v>
      </c>
      <c r="B41" s="10">
        <v>51.815100000000001</v>
      </c>
      <c r="C41" s="10">
        <v>-1.313367</v>
      </c>
      <c r="D41" t="s">
        <v>136</v>
      </c>
      <c r="E41" t="s">
        <v>102</v>
      </c>
      <c r="F41">
        <v>1</v>
      </c>
      <c r="G41">
        <v>3</v>
      </c>
      <c r="H41">
        <f t="shared" si="0"/>
        <v>3</v>
      </c>
      <c r="I41">
        <f t="shared" si="1"/>
        <v>1240</v>
      </c>
      <c r="J41">
        <f t="shared" si="2"/>
        <v>7</v>
      </c>
      <c r="K41">
        <v>333</v>
      </c>
      <c r="L41" t="s">
        <v>103</v>
      </c>
      <c r="M41" t="s">
        <v>104</v>
      </c>
      <c r="N41" t="s">
        <v>84</v>
      </c>
      <c r="O41" t="s">
        <v>94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76</v>
      </c>
      <c r="X41">
        <v>0</v>
      </c>
      <c r="Y41">
        <v>0</v>
      </c>
      <c r="Z41">
        <v>12</v>
      </c>
      <c r="AA41">
        <v>0</v>
      </c>
      <c r="AB41">
        <v>0</v>
      </c>
      <c r="AC41">
        <v>0</v>
      </c>
      <c r="AD41">
        <v>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1140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3</v>
      </c>
      <c r="BQ41">
        <v>1</v>
      </c>
      <c r="BR41">
        <v>0</v>
      </c>
      <c r="BS41">
        <v>0</v>
      </c>
      <c r="BT41">
        <v>0</v>
      </c>
    </row>
    <row r="42" spans="1:72" x14ac:dyDescent="0.2">
      <c r="A42" t="s">
        <v>105</v>
      </c>
      <c r="B42" s="10">
        <v>51.817749999999997</v>
      </c>
      <c r="C42" s="10">
        <v>-1.310883</v>
      </c>
      <c r="D42" t="s">
        <v>136</v>
      </c>
      <c r="E42" t="s">
        <v>96</v>
      </c>
      <c r="F42">
        <v>4</v>
      </c>
      <c r="G42">
        <v>3</v>
      </c>
      <c r="H42">
        <f t="shared" si="0"/>
        <v>12</v>
      </c>
      <c r="I42">
        <f t="shared" si="1"/>
        <v>224</v>
      </c>
      <c r="J42">
        <f t="shared" si="2"/>
        <v>11</v>
      </c>
      <c r="K42">
        <v>0</v>
      </c>
      <c r="L42" t="s">
        <v>97</v>
      </c>
      <c r="M42" t="s">
        <v>85</v>
      </c>
      <c r="N42" t="s">
        <v>84</v>
      </c>
      <c r="O42" t="s">
        <v>94</v>
      </c>
      <c r="P42">
        <v>0</v>
      </c>
      <c r="Q42">
        <v>1</v>
      </c>
      <c r="R42">
        <v>5</v>
      </c>
      <c r="S42">
        <v>1</v>
      </c>
      <c r="T42">
        <v>0</v>
      </c>
      <c r="U42">
        <v>0</v>
      </c>
      <c r="V42">
        <v>0</v>
      </c>
      <c r="W42">
        <v>36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154</v>
      </c>
      <c r="AR42">
        <v>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14</v>
      </c>
      <c r="BQ42">
        <v>1</v>
      </c>
      <c r="BR42">
        <v>0</v>
      </c>
      <c r="BS42">
        <v>0</v>
      </c>
      <c r="BT42">
        <v>1</v>
      </c>
    </row>
    <row r="43" spans="1:72" x14ac:dyDescent="0.2">
      <c r="A43" t="s">
        <v>106</v>
      </c>
      <c r="B43" s="10">
        <v>51.816133000000001</v>
      </c>
      <c r="C43" s="10">
        <v>-1.3091330000000001</v>
      </c>
      <c r="D43" t="s">
        <v>136</v>
      </c>
      <c r="E43" t="s">
        <v>96</v>
      </c>
      <c r="F43">
        <v>4</v>
      </c>
      <c r="G43">
        <v>3</v>
      </c>
      <c r="H43">
        <f t="shared" si="0"/>
        <v>12</v>
      </c>
      <c r="I43">
        <f t="shared" si="1"/>
        <v>180</v>
      </c>
      <c r="J43">
        <f t="shared" si="2"/>
        <v>12</v>
      </c>
      <c r="K43">
        <v>358</v>
      </c>
      <c r="L43" t="s">
        <v>97</v>
      </c>
      <c r="M43" t="s">
        <v>85</v>
      </c>
      <c r="N43" t="s">
        <v>85</v>
      </c>
      <c r="O43" t="s">
        <v>94</v>
      </c>
      <c r="P43">
        <v>0</v>
      </c>
      <c r="Q43">
        <v>1</v>
      </c>
      <c r="R43">
        <v>7</v>
      </c>
      <c r="S43">
        <v>1</v>
      </c>
      <c r="T43">
        <v>0</v>
      </c>
      <c r="U43">
        <v>0</v>
      </c>
      <c r="V43">
        <v>0</v>
      </c>
      <c r="W43">
        <v>39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107</v>
      </c>
      <c r="AR43">
        <v>4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8</v>
      </c>
      <c r="BQ43">
        <v>0</v>
      </c>
      <c r="BR43">
        <v>0</v>
      </c>
      <c r="BS43">
        <v>0</v>
      </c>
      <c r="BT43">
        <v>6</v>
      </c>
    </row>
    <row r="44" spans="1:72" x14ac:dyDescent="0.2">
      <c r="A44" t="s">
        <v>107</v>
      </c>
      <c r="B44" s="10">
        <v>51.815100000000001</v>
      </c>
      <c r="C44" s="10">
        <v>-1.307833</v>
      </c>
      <c r="D44" t="s">
        <v>136</v>
      </c>
      <c r="E44" t="s">
        <v>96</v>
      </c>
      <c r="F44">
        <v>4</v>
      </c>
      <c r="G44">
        <v>3</v>
      </c>
      <c r="H44">
        <f t="shared" si="0"/>
        <v>12</v>
      </c>
      <c r="I44">
        <f t="shared" si="1"/>
        <v>148</v>
      </c>
      <c r="J44">
        <f t="shared" si="2"/>
        <v>12</v>
      </c>
      <c r="K44">
        <v>4</v>
      </c>
      <c r="L44" t="s">
        <v>97</v>
      </c>
      <c r="M44" t="s">
        <v>84</v>
      </c>
      <c r="N44" t="s">
        <v>84</v>
      </c>
      <c r="O44" t="s">
        <v>108</v>
      </c>
      <c r="P44">
        <v>1</v>
      </c>
      <c r="Q44">
        <v>1</v>
      </c>
      <c r="R44">
        <v>6</v>
      </c>
      <c r="S44">
        <v>0</v>
      </c>
      <c r="T44">
        <v>0</v>
      </c>
      <c r="U44">
        <v>0</v>
      </c>
      <c r="V44">
        <v>0</v>
      </c>
      <c r="W44">
        <v>21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98</v>
      </c>
      <c r="AR44">
        <v>6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2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6</v>
      </c>
    </row>
    <row r="45" spans="1:72" x14ac:dyDescent="0.2">
      <c r="A45" t="s">
        <v>109</v>
      </c>
      <c r="B45" s="10">
        <v>51.816766999999999</v>
      </c>
      <c r="C45" s="10">
        <v>-1.3060499999999999</v>
      </c>
      <c r="D45" t="s">
        <v>136</v>
      </c>
      <c r="E45" t="s">
        <v>110</v>
      </c>
      <c r="F45">
        <v>2</v>
      </c>
      <c r="G45">
        <v>2</v>
      </c>
      <c r="H45">
        <f t="shared" si="0"/>
        <v>4</v>
      </c>
      <c r="I45">
        <f t="shared" si="1"/>
        <v>93</v>
      </c>
      <c r="J45">
        <f t="shared" si="2"/>
        <v>14</v>
      </c>
      <c r="K45">
        <v>268</v>
      </c>
      <c r="L45" t="s">
        <v>92</v>
      </c>
      <c r="M45" t="s">
        <v>104</v>
      </c>
      <c r="N45" t="s">
        <v>104</v>
      </c>
      <c r="O45" t="s">
        <v>99</v>
      </c>
      <c r="P45">
        <v>1</v>
      </c>
      <c r="Q45">
        <v>0</v>
      </c>
      <c r="R45">
        <v>11</v>
      </c>
      <c r="S45">
        <v>0</v>
      </c>
      <c r="T45">
        <v>0</v>
      </c>
      <c r="U45">
        <v>0</v>
      </c>
      <c r="V45">
        <v>0</v>
      </c>
      <c r="W45">
        <v>37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26</v>
      </c>
      <c r="AR45">
        <v>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2</v>
      </c>
      <c r="BQ45">
        <v>0</v>
      </c>
      <c r="BR45">
        <v>0</v>
      </c>
      <c r="BS45">
        <v>0</v>
      </c>
      <c r="BT45">
        <v>3</v>
      </c>
    </row>
    <row r="46" spans="1:72" x14ac:dyDescent="0.2">
      <c r="A46" t="s">
        <v>111</v>
      </c>
      <c r="B46" s="10">
        <v>51.816682999999998</v>
      </c>
      <c r="C46" s="10">
        <v>-1.305917</v>
      </c>
      <c r="D46" t="s">
        <v>136</v>
      </c>
      <c r="E46" t="s">
        <v>110</v>
      </c>
      <c r="F46">
        <v>2</v>
      </c>
      <c r="G46">
        <v>2</v>
      </c>
      <c r="H46">
        <f t="shared" si="0"/>
        <v>4</v>
      </c>
      <c r="I46">
        <f t="shared" si="1"/>
        <v>182</v>
      </c>
      <c r="J46">
        <f t="shared" si="2"/>
        <v>15</v>
      </c>
      <c r="K46">
        <v>84</v>
      </c>
      <c r="L46" t="s">
        <v>88</v>
      </c>
      <c r="M46" t="s">
        <v>104</v>
      </c>
      <c r="N46" t="s">
        <v>104</v>
      </c>
      <c r="O46" t="s">
        <v>99</v>
      </c>
      <c r="P46">
        <v>1</v>
      </c>
      <c r="Q46">
        <v>0</v>
      </c>
      <c r="R46">
        <v>10</v>
      </c>
      <c r="S46">
        <v>1</v>
      </c>
      <c r="T46">
        <v>0</v>
      </c>
      <c r="U46">
        <v>0</v>
      </c>
      <c r="V46">
        <v>0</v>
      </c>
      <c r="W46">
        <v>88</v>
      </c>
      <c r="X46">
        <v>0</v>
      </c>
      <c r="Y46">
        <v>0</v>
      </c>
      <c r="Z46">
        <v>6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21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32</v>
      </c>
      <c r="AR46">
        <v>2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3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8</v>
      </c>
      <c r="BQ46">
        <v>1</v>
      </c>
      <c r="BR46">
        <v>0</v>
      </c>
      <c r="BS46">
        <v>0</v>
      </c>
      <c r="BT46">
        <v>5</v>
      </c>
    </row>
    <row r="47" spans="1:72" x14ac:dyDescent="0.2">
      <c r="A47" t="s">
        <v>112</v>
      </c>
      <c r="B47" s="10">
        <v>51.815632999999998</v>
      </c>
      <c r="C47" s="10">
        <v>-1.2991999999999999</v>
      </c>
      <c r="D47" t="s">
        <v>136</v>
      </c>
      <c r="E47" t="s">
        <v>96</v>
      </c>
      <c r="F47">
        <v>4</v>
      </c>
      <c r="G47">
        <v>3</v>
      </c>
      <c r="H47">
        <f t="shared" si="0"/>
        <v>12</v>
      </c>
      <c r="I47">
        <f t="shared" si="1"/>
        <v>99</v>
      </c>
      <c r="J47">
        <f t="shared" si="2"/>
        <v>13</v>
      </c>
      <c r="K47">
        <v>179</v>
      </c>
      <c r="L47" t="s">
        <v>83</v>
      </c>
      <c r="M47" t="s">
        <v>84</v>
      </c>
      <c r="N47" t="s">
        <v>85</v>
      </c>
      <c r="O47" t="s">
        <v>113</v>
      </c>
      <c r="P47">
        <v>0</v>
      </c>
      <c r="Q47">
        <v>2</v>
      </c>
      <c r="R47">
        <v>5</v>
      </c>
      <c r="S47">
        <v>0</v>
      </c>
      <c r="T47">
        <v>0</v>
      </c>
      <c r="U47">
        <v>0</v>
      </c>
      <c r="V47">
        <v>0</v>
      </c>
      <c r="W47">
        <v>5</v>
      </c>
      <c r="X47">
        <v>1</v>
      </c>
      <c r="Y47">
        <v>0</v>
      </c>
      <c r="Z47">
        <v>2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31</v>
      </c>
      <c r="AR47">
        <v>3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44</v>
      </c>
      <c r="BQ47">
        <v>2</v>
      </c>
      <c r="BR47">
        <v>0</v>
      </c>
      <c r="BS47">
        <v>0</v>
      </c>
      <c r="BT47">
        <v>1</v>
      </c>
    </row>
    <row r="48" spans="1:72" x14ac:dyDescent="0.2">
      <c r="A48" t="s">
        <v>114</v>
      </c>
      <c r="B48" s="10">
        <v>51.815617000000003</v>
      </c>
      <c r="C48" s="10">
        <v>-1.3024169999999999</v>
      </c>
      <c r="D48" t="s">
        <v>136</v>
      </c>
      <c r="E48" t="s">
        <v>73</v>
      </c>
      <c r="F48">
        <v>6</v>
      </c>
      <c r="G48">
        <v>3</v>
      </c>
      <c r="H48">
        <f t="shared" si="0"/>
        <v>18</v>
      </c>
      <c r="I48">
        <f t="shared" si="1"/>
        <v>102</v>
      </c>
      <c r="J48">
        <f t="shared" si="2"/>
        <v>11</v>
      </c>
      <c r="K48">
        <v>182</v>
      </c>
      <c r="L48" t="s">
        <v>83</v>
      </c>
      <c r="M48" t="s">
        <v>85</v>
      </c>
      <c r="N48" t="s">
        <v>85</v>
      </c>
      <c r="O48" t="s">
        <v>115</v>
      </c>
      <c r="P48">
        <v>3</v>
      </c>
      <c r="Q48">
        <v>0</v>
      </c>
      <c r="R48">
        <v>3</v>
      </c>
      <c r="S48">
        <v>0</v>
      </c>
      <c r="T48">
        <v>0</v>
      </c>
      <c r="U48">
        <v>0</v>
      </c>
      <c r="V48">
        <v>0</v>
      </c>
      <c r="W48">
        <v>50</v>
      </c>
      <c r="X48">
        <v>0</v>
      </c>
      <c r="Y48">
        <v>0</v>
      </c>
      <c r="Z48">
        <v>21</v>
      </c>
      <c r="AA48">
        <v>0</v>
      </c>
      <c r="AB48">
        <v>0</v>
      </c>
      <c r="AC48">
        <v>0</v>
      </c>
      <c r="AD48">
        <v>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13</v>
      </c>
      <c r="BQ48">
        <v>0</v>
      </c>
      <c r="BR48">
        <v>0</v>
      </c>
      <c r="BS48">
        <v>0</v>
      </c>
      <c r="BT48">
        <v>3</v>
      </c>
    </row>
    <row r="49" spans="1:80" x14ac:dyDescent="0.2">
      <c r="A49" t="s">
        <v>116</v>
      </c>
      <c r="B49" s="10">
        <v>51.813732999999999</v>
      </c>
      <c r="C49" s="10">
        <v>-1.3007169999999999</v>
      </c>
      <c r="D49" t="s">
        <v>136</v>
      </c>
      <c r="E49" t="s">
        <v>96</v>
      </c>
      <c r="F49">
        <v>4</v>
      </c>
      <c r="G49">
        <v>2</v>
      </c>
      <c r="H49">
        <f t="shared" si="0"/>
        <v>8</v>
      </c>
      <c r="I49">
        <f t="shared" si="1"/>
        <v>126</v>
      </c>
      <c r="J49">
        <f t="shared" si="2"/>
        <v>10</v>
      </c>
      <c r="K49">
        <v>165</v>
      </c>
      <c r="L49" t="s">
        <v>83</v>
      </c>
      <c r="M49" t="s">
        <v>76</v>
      </c>
      <c r="N49" t="s">
        <v>84</v>
      </c>
      <c r="O49" t="s">
        <v>86</v>
      </c>
      <c r="P49">
        <v>5</v>
      </c>
      <c r="Q49">
        <v>0</v>
      </c>
      <c r="R49">
        <v>5</v>
      </c>
      <c r="S49">
        <v>0</v>
      </c>
      <c r="T49">
        <v>0</v>
      </c>
      <c r="U49">
        <v>0</v>
      </c>
      <c r="V49">
        <v>0</v>
      </c>
      <c r="W49">
        <v>79</v>
      </c>
      <c r="X49">
        <v>0</v>
      </c>
      <c r="Y49">
        <v>0</v>
      </c>
      <c r="Z49">
        <v>14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</v>
      </c>
      <c r="AR49">
        <v>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3</v>
      </c>
      <c r="BQ49">
        <v>0</v>
      </c>
      <c r="BR49">
        <v>0</v>
      </c>
      <c r="BS49">
        <v>0</v>
      </c>
      <c r="BT49">
        <v>0</v>
      </c>
    </row>
    <row r="50" spans="1:80" x14ac:dyDescent="0.2">
      <c r="A50" t="s">
        <v>117</v>
      </c>
      <c r="B50" s="10">
        <v>51.810867000000002</v>
      </c>
      <c r="C50" s="10">
        <v>-1.3022</v>
      </c>
      <c r="D50" t="s">
        <v>136</v>
      </c>
      <c r="E50" t="s">
        <v>79</v>
      </c>
      <c r="F50">
        <v>8</v>
      </c>
      <c r="G50">
        <v>3</v>
      </c>
      <c r="H50">
        <f t="shared" si="0"/>
        <v>24</v>
      </c>
      <c r="I50">
        <f t="shared" si="1"/>
        <v>54</v>
      </c>
      <c r="J50">
        <f t="shared" si="2"/>
        <v>10</v>
      </c>
      <c r="K50">
        <v>314</v>
      </c>
      <c r="L50" t="s">
        <v>103</v>
      </c>
      <c r="M50" t="s">
        <v>118</v>
      </c>
      <c r="N50" t="s">
        <v>75</v>
      </c>
      <c r="O50" t="s">
        <v>86</v>
      </c>
      <c r="P50">
        <v>1</v>
      </c>
      <c r="Q50">
        <v>0</v>
      </c>
      <c r="R50">
        <v>21</v>
      </c>
      <c r="S50">
        <v>0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3</v>
      </c>
      <c r="AA50">
        <v>0</v>
      </c>
      <c r="AB50">
        <v>0</v>
      </c>
      <c r="AC50">
        <v>0</v>
      </c>
      <c r="AD50">
        <v>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3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7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6</v>
      </c>
      <c r="BQ50">
        <v>0</v>
      </c>
      <c r="BR50">
        <v>0</v>
      </c>
      <c r="BS50">
        <v>0</v>
      </c>
      <c r="BT50">
        <v>3</v>
      </c>
    </row>
    <row r="51" spans="1:80" x14ac:dyDescent="0.2">
      <c r="A51" t="s">
        <v>119</v>
      </c>
      <c r="B51" s="10">
        <v>51.818550000000002</v>
      </c>
      <c r="C51" s="10">
        <v>-1.2959670000000001</v>
      </c>
      <c r="D51" t="s">
        <v>136</v>
      </c>
      <c r="E51" t="s">
        <v>79</v>
      </c>
      <c r="F51">
        <v>8</v>
      </c>
      <c r="G51">
        <v>3</v>
      </c>
      <c r="H51">
        <f t="shared" si="0"/>
        <v>24</v>
      </c>
      <c r="I51">
        <f t="shared" si="1"/>
        <v>44</v>
      </c>
      <c r="J51">
        <f t="shared" si="2"/>
        <v>12</v>
      </c>
      <c r="K51">
        <v>211</v>
      </c>
      <c r="L51" t="s">
        <v>74</v>
      </c>
      <c r="M51" t="s">
        <v>118</v>
      </c>
      <c r="N51" t="s">
        <v>89</v>
      </c>
      <c r="O51" t="s">
        <v>115</v>
      </c>
      <c r="P51">
        <v>1</v>
      </c>
      <c r="Q51">
        <v>0</v>
      </c>
      <c r="R51">
        <v>4</v>
      </c>
      <c r="S51">
        <v>0</v>
      </c>
      <c r="T51">
        <v>0</v>
      </c>
      <c r="U51">
        <v>0</v>
      </c>
      <c r="V51">
        <v>0</v>
      </c>
      <c r="W51">
        <v>3</v>
      </c>
      <c r="X51">
        <v>0</v>
      </c>
      <c r="Y51">
        <v>1</v>
      </c>
      <c r="Z51">
        <v>7</v>
      </c>
      <c r="AA51">
        <v>0</v>
      </c>
      <c r="AB51">
        <v>0</v>
      </c>
      <c r="AC51">
        <v>0</v>
      </c>
      <c r="AD51">
        <v>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11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3</v>
      </c>
      <c r="BQ51">
        <v>0</v>
      </c>
      <c r="BR51">
        <v>0</v>
      </c>
      <c r="BS51">
        <v>0</v>
      </c>
      <c r="BT51">
        <v>5</v>
      </c>
    </row>
    <row r="52" spans="1:80" x14ac:dyDescent="0.2">
      <c r="A52" t="s">
        <v>120</v>
      </c>
      <c r="B52" s="10">
        <v>51.816716999999997</v>
      </c>
      <c r="C52" s="10">
        <v>-1.293917</v>
      </c>
      <c r="D52" t="s">
        <v>136</v>
      </c>
      <c r="E52" t="s">
        <v>79</v>
      </c>
      <c r="F52">
        <v>8</v>
      </c>
      <c r="G52">
        <v>2</v>
      </c>
      <c r="H52">
        <f t="shared" si="0"/>
        <v>16</v>
      </c>
      <c r="I52">
        <f t="shared" si="1"/>
        <v>57</v>
      </c>
      <c r="J52">
        <f t="shared" si="2"/>
        <v>10</v>
      </c>
      <c r="K52">
        <v>174</v>
      </c>
      <c r="L52" t="s">
        <v>83</v>
      </c>
      <c r="M52" t="s">
        <v>89</v>
      </c>
      <c r="N52" t="s">
        <v>85</v>
      </c>
      <c r="O52" t="s">
        <v>121</v>
      </c>
      <c r="P52">
        <v>1</v>
      </c>
      <c r="Q52">
        <v>0</v>
      </c>
      <c r="R52">
        <v>5</v>
      </c>
      <c r="S52">
        <v>0</v>
      </c>
      <c r="T52">
        <v>0</v>
      </c>
      <c r="U52">
        <v>0</v>
      </c>
      <c r="V52">
        <v>0</v>
      </c>
      <c r="W52">
        <v>15</v>
      </c>
      <c r="X52">
        <v>0</v>
      </c>
      <c r="Y52">
        <v>0</v>
      </c>
      <c r="Z52">
        <v>3</v>
      </c>
      <c r="AA52">
        <v>0</v>
      </c>
      <c r="AB52">
        <v>0</v>
      </c>
      <c r="AC52">
        <v>0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23</v>
      </c>
      <c r="AR52">
        <v>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</row>
    <row r="53" spans="1:80" x14ac:dyDescent="0.2">
      <c r="A53" t="s">
        <v>122</v>
      </c>
      <c r="B53" s="10">
        <v>51.815533000000002</v>
      </c>
      <c r="C53" s="10">
        <v>-1.2947500000000001</v>
      </c>
      <c r="D53" t="s">
        <v>136</v>
      </c>
      <c r="E53" t="s">
        <v>73</v>
      </c>
      <c r="F53">
        <v>6</v>
      </c>
      <c r="G53">
        <v>3</v>
      </c>
      <c r="H53">
        <f t="shared" si="0"/>
        <v>18</v>
      </c>
      <c r="I53">
        <f t="shared" si="1"/>
        <v>26</v>
      </c>
      <c r="J53">
        <f t="shared" si="2"/>
        <v>13</v>
      </c>
      <c r="K53">
        <v>350</v>
      </c>
      <c r="L53" t="s">
        <v>97</v>
      </c>
      <c r="M53" t="s">
        <v>89</v>
      </c>
      <c r="N53" t="s">
        <v>85</v>
      </c>
      <c r="O53" t="s">
        <v>121</v>
      </c>
      <c r="P53">
        <v>1</v>
      </c>
      <c r="Q53">
        <v>1</v>
      </c>
      <c r="R53">
        <v>7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2</v>
      </c>
      <c r="AA53">
        <v>0</v>
      </c>
      <c r="AB53">
        <v>0</v>
      </c>
      <c r="AC53">
        <v>0</v>
      </c>
      <c r="AD53">
        <v>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</v>
      </c>
      <c r="AR53">
        <v>2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</row>
    <row r="54" spans="1:80" x14ac:dyDescent="0.2">
      <c r="A54" t="s">
        <v>123</v>
      </c>
      <c r="B54" s="10">
        <v>51.815832999999998</v>
      </c>
      <c r="C54" s="10">
        <v>-1.29295</v>
      </c>
      <c r="D54" t="s">
        <v>136</v>
      </c>
      <c r="E54" t="s">
        <v>73</v>
      </c>
      <c r="F54">
        <v>6</v>
      </c>
      <c r="G54">
        <v>3</v>
      </c>
      <c r="H54">
        <f t="shared" si="0"/>
        <v>18</v>
      </c>
      <c r="I54">
        <f t="shared" si="1"/>
        <v>134</v>
      </c>
      <c r="J54">
        <f t="shared" si="2"/>
        <v>15</v>
      </c>
      <c r="K54">
        <v>161</v>
      </c>
      <c r="L54" t="s">
        <v>124</v>
      </c>
      <c r="M54" t="s">
        <v>76</v>
      </c>
      <c r="N54" t="s">
        <v>85</v>
      </c>
      <c r="O54" t="s">
        <v>121</v>
      </c>
      <c r="P54">
        <v>3</v>
      </c>
      <c r="Q54">
        <v>1</v>
      </c>
      <c r="R54">
        <v>3</v>
      </c>
      <c r="S54">
        <v>0</v>
      </c>
      <c r="T54">
        <v>0</v>
      </c>
      <c r="U54">
        <v>0</v>
      </c>
      <c r="V54">
        <v>0</v>
      </c>
      <c r="W54">
        <v>18</v>
      </c>
      <c r="X54">
        <v>0</v>
      </c>
      <c r="Y54">
        <v>0</v>
      </c>
      <c r="Z54">
        <v>4</v>
      </c>
      <c r="AA54">
        <v>0</v>
      </c>
      <c r="AB54">
        <v>0</v>
      </c>
      <c r="AC54">
        <v>0</v>
      </c>
      <c r="AD54">
        <v>6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54</v>
      </c>
      <c r="BQ54">
        <v>5</v>
      </c>
      <c r="BR54">
        <v>0</v>
      </c>
      <c r="BS54">
        <v>0</v>
      </c>
      <c r="BT54">
        <v>4</v>
      </c>
    </row>
    <row r="55" spans="1:80" x14ac:dyDescent="0.2">
      <c r="A55" t="s">
        <v>125</v>
      </c>
      <c r="B55" s="10">
        <v>51.815133000000003</v>
      </c>
      <c r="C55" s="10">
        <v>-1.2927</v>
      </c>
      <c r="D55" t="s">
        <v>136</v>
      </c>
      <c r="E55" t="s">
        <v>79</v>
      </c>
      <c r="F55">
        <v>8</v>
      </c>
      <c r="G55">
        <v>3</v>
      </c>
      <c r="H55">
        <f t="shared" si="0"/>
        <v>24</v>
      </c>
      <c r="I55">
        <f t="shared" si="1"/>
        <v>74</v>
      </c>
      <c r="J55">
        <f t="shared" si="2"/>
        <v>12</v>
      </c>
      <c r="K55">
        <v>287</v>
      </c>
      <c r="L55" t="s">
        <v>92</v>
      </c>
      <c r="M55" t="s">
        <v>81</v>
      </c>
      <c r="N55" t="s">
        <v>89</v>
      </c>
      <c r="O55" t="s">
        <v>121</v>
      </c>
      <c r="P55">
        <v>3</v>
      </c>
      <c r="Q55">
        <v>0</v>
      </c>
      <c r="R55">
        <v>2</v>
      </c>
      <c r="S55">
        <v>0</v>
      </c>
      <c r="T55">
        <v>0</v>
      </c>
      <c r="U55">
        <v>0</v>
      </c>
      <c r="V55">
        <v>0</v>
      </c>
      <c r="W55">
        <v>12</v>
      </c>
      <c r="X55">
        <v>0</v>
      </c>
      <c r="Y55">
        <v>0</v>
      </c>
      <c r="Z55">
        <v>7</v>
      </c>
      <c r="AA55">
        <v>0</v>
      </c>
      <c r="AB55">
        <v>0</v>
      </c>
      <c r="AC55">
        <v>0</v>
      </c>
      <c r="AD55">
        <v>11</v>
      </c>
      <c r="AE55">
        <v>0</v>
      </c>
      <c r="AF55">
        <v>0</v>
      </c>
      <c r="AG55">
        <v>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23</v>
      </c>
      <c r="AR55">
        <v>3</v>
      </c>
      <c r="AS55">
        <v>1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</v>
      </c>
      <c r="BL55">
        <v>0</v>
      </c>
      <c r="BM55">
        <v>0</v>
      </c>
      <c r="BN55">
        <v>0</v>
      </c>
      <c r="BO55">
        <v>0</v>
      </c>
      <c r="BP55">
        <v>7</v>
      </c>
      <c r="BQ55">
        <v>0</v>
      </c>
      <c r="BR55">
        <v>0</v>
      </c>
      <c r="BS55">
        <v>0</v>
      </c>
      <c r="BT55">
        <v>0</v>
      </c>
    </row>
    <row r="56" spans="1:80" x14ac:dyDescent="0.2">
      <c r="A56" t="s">
        <v>126</v>
      </c>
      <c r="B56" s="10">
        <v>51.815100000000001</v>
      </c>
      <c r="C56" s="10">
        <v>-1.2924329999999999</v>
      </c>
      <c r="D56" t="s">
        <v>136</v>
      </c>
      <c r="E56" t="s">
        <v>79</v>
      </c>
      <c r="F56">
        <v>8</v>
      </c>
      <c r="G56">
        <v>3</v>
      </c>
      <c r="H56">
        <f t="shared" si="0"/>
        <v>24</v>
      </c>
      <c r="I56">
        <f t="shared" si="1"/>
        <v>198</v>
      </c>
      <c r="J56">
        <f t="shared" si="2"/>
        <v>19</v>
      </c>
      <c r="K56">
        <v>117</v>
      </c>
      <c r="L56" t="s">
        <v>80</v>
      </c>
      <c r="M56" t="s">
        <v>81</v>
      </c>
      <c r="N56" t="s">
        <v>89</v>
      </c>
      <c r="O56" t="s">
        <v>113</v>
      </c>
      <c r="P56">
        <v>0</v>
      </c>
      <c r="Q56">
        <v>1</v>
      </c>
      <c r="R56">
        <v>7</v>
      </c>
      <c r="S56">
        <v>1</v>
      </c>
      <c r="T56">
        <v>0</v>
      </c>
      <c r="U56">
        <v>2</v>
      </c>
      <c r="V56">
        <v>0</v>
      </c>
      <c r="W56">
        <v>86</v>
      </c>
      <c r="X56">
        <v>0</v>
      </c>
      <c r="Y56">
        <v>1</v>
      </c>
      <c r="Z56">
        <v>33</v>
      </c>
      <c r="AA56">
        <v>0</v>
      </c>
      <c r="AB56">
        <v>0</v>
      </c>
      <c r="AC56">
        <v>0</v>
      </c>
      <c r="AD56">
        <v>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14</v>
      </c>
      <c r="AR56">
        <v>22</v>
      </c>
      <c r="AS56">
        <v>2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0</v>
      </c>
      <c r="BT56">
        <v>11</v>
      </c>
    </row>
    <row r="57" spans="1:80" x14ac:dyDescent="0.2">
      <c r="A57" t="s">
        <v>127</v>
      </c>
      <c r="B57" s="10">
        <v>51.812600000000003</v>
      </c>
      <c r="C57" s="10">
        <v>-1.293833</v>
      </c>
      <c r="D57" t="s">
        <v>136</v>
      </c>
      <c r="E57" t="s">
        <v>79</v>
      </c>
      <c r="F57">
        <v>8</v>
      </c>
      <c r="G57">
        <v>3</v>
      </c>
      <c r="H57">
        <f t="shared" si="0"/>
        <v>24</v>
      </c>
      <c r="I57">
        <f t="shared" si="1"/>
        <v>71</v>
      </c>
      <c r="J57">
        <f t="shared" si="2"/>
        <v>16</v>
      </c>
      <c r="K57">
        <v>102</v>
      </c>
      <c r="L57" t="s">
        <v>88</v>
      </c>
      <c r="M57" t="s">
        <v>89</v>
      </c>
      <c r="N57" t="s">
        <v>75</v>
      </c>
      <c r="O57" t="s">
        <v>113</v>
      </c>
      <c r="P57">
        <v>0</v>
      </c>
      <c r="Q57">
        <v>0</v>
      </c>
      <c r="R57">
        <v>6</v>
      </c>
      <c r="S57">
        <v>1</v>
      </c>
      <c r="T57">
        <v>0</v>
      </c>
      <c r="U57">
        <v>0</v>
      </c>
      <c r="V57">
        <v>0</v>
      </c>
      <c r="W57">
        <v>11</v>
      </c>
      <c r="X57">
        <v>0</v>
      </c>
      <c r="Y57">
        <v>0</v>
      </c>
      <c r="Z57">
        <v>1</v>
      </c>
      <c r="AA57">
        <v>0</v>
      </c>
      <c r="AB57">
        <v>0</v>
      </c>
      <c r="AC57">
        <v>1</v>
      </c>
      <c r="AD57">
        <v>7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1</v>
      </c>
      <c r="AO57">
        <v>0</v>
      </c>
      <c r="AP57">
        <v>1</v>
      </c>
      <c r="AQ57">
        <v>25</v>
      </c>
      <c r="AR57">
        <v>10</v>
      </c>
      <c r="AS57">
        <v>0</v>
      </c>
      <c r="AT57">
        <v>0</v>
      </c>
      <c r="AU57">
        <v>0</v>
      </c>
      <c r="AV57">
        <v>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1</v>
      </c>
    </row>
    <row r="58" spans="1:80" x14ac:dyDescent="0.2">
      <c r="A58" t="s">
        <v>128</v>
      </c>
      <c r="B58" s="10">
        <v>51.809583000000003</v>
      </c>
      <c r="C58" s="10">
        <v>-1.2956669999999999</v>
      </c>
      <c r="D58" t="s">
        <v>136</v>
      </c>
      <c r="E58" t="s">
        <v>79</v>
      </c>
      <c r="F58">
        <v>8</v>
      </c>
      <c r="G58">
        <v>3</v>
      </c>
      <c r="H58">
        <f t="shared" si="0"/>
        <v>24</v>
      </c>
      <c r="I58">
        <f t="shared" si="1"/>
        <v>82</v>
      </c>
      <c r="J58">
        <f t="shared" si="2"/>
        <v>13</v>
      </c>
      <c r="K58">
        <v>98</v>
      </c>
      <c r="L58" t="s">
        <v>88</v>
      </c>
      <c r="M58" t="s">
        <v>75</v>
      </c>
      <c r="N58" t="s">
        <v>75</v>
      </c>
      <c r="O58" t="s">
        <v>113</v>
      </c>
      <c r="P58">
        <v>0</v>
      </c>
      <c r="Q58">
        <v>0</v>
      </c>
      <c r="R58">
        <v>4</v>
      </c>
      <c r="S58">
        <v>0</v>
      </c>
      <c r="T58">
        <v>0</v>
      </c>
      <c r="U58">
        <v>0</v>
      </c>
      <c r="V58">
        <v>0</v>
      </c>
      <c r="W58">
        <v>38</v>
      </c>
      <c r="X58">
        <v>0</v>
      </c>
      <c r="Y58">
        <v>0</v>
      </c>
      <c r="Z58">
        <v>6</v>
      </c>
      <c r="AA58">
        <v>0</v>
      </c>
      <c r="AB58">
        <v>0</v>
      </c>
      <c r="AC58">
        <v>0</v>
      </c>
      <c r="AD58">
        <v>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9</v>
      </c>
      <c r="AR58">
        <v>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2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2</v>
      </c>
      <c r="BM58">
        <v>0</v>
      </c>
      <c r="BN58">
        <v>0</v>
      </c>
      <c r="BO58">
        <v>0</v>
      </c>
      <c r="BP58">
        <v>1</v>
      </c>
      <c r="BQ58">
        <v>3</v>
      </c>
      <c r="BR58">
        <v>0</v>
      </c>
      <c r="BS58">
        <v>0</v>
      </c>
      <c r="BT58">
        <v>0</v>
      </c>
    </row>
    <row r="59" spans="1:80" x14ac:dyDescent="0.2">
      <c r="A59" t="s">
        <v>129</v>
      </c>
      <c r="B59" s="10">
        <v>51.807749999999999</v>
      </c>
      <c r="C59" s="10">
        <v>-1.29295</v>
      </c>
      <c r="D59" t="s">
        <v>136</v>
      </c>
      <c r="E59" t="s">
        <v>79</v>
      </c>
      <c r="F59">
        <v>8</v>
      </c>
      <c r="G59">
        <v>2</v>
      </c>
      <c r="H59">
        <f t="shared" si="0"/>
        <v>16</v>
      </c>
      <c r="I59">
        <f t="shared" si="1"/>
        <v>93</v>
      </c>
      <c r="J59">
        <f t="shared" si="2"/>
        <v>15</v>
      </c>
      <c r="K59">
        <v>285</v>
      </c>
      <c r="L59" t="s">
        <v>92</v>
      </c>
      <c r="M59" t="s">
        <v>75</v>
      </c>
      <c r="N59" t="s">
        <v>89</v>
      </c>
      <c r="O59" t="s">
        <v>113</v>
      </c>
      <c r="P59">
        <v>1</v>
      </c>
      <c r="Q59">
        <v>0</v>
      </c>
      <c r="R59">
        <v>8</v>
      </c>
      <c r="S59">
        <v>0</v>
      </c>
      <c r="T59">
        <v>0</v>
      </c>
      <c r="U59">
        <v>0</v>
      </c>
      <c r="V59">
        <v>0</v>
      </c>
      <c r="W59">
        <v>43</v>
      </c>
      <c r="X59">
        <v>0</v>
      </c>
      <c r="Y59">
        <v>1</v>
      </c>
      <c r="Z59">
        <v>8</v>
      </c>
      <c r="AA59">
        <v>0</v>
      </c>
      <c r="AB59">
        <v>0</v>
      </c>
      <c r="AC59">
        <v>0</v>
      </c>
      <c r="AD59">
        <v>9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9</v>
      </c>
      <c r="AR59">
        <v>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3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1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2</v>
      </c>
    </row>
    <row r="60" spans="1:80" x14ac:dyDescent="0.2">
      <c r="A60" t="s">
        <v>130</v>
      </c>
      <c r="B60" s="10">
        <v>51.808599999999998</v>
      </c>
      <c r="C60" s="10">
        <v>-1.288683</v>
      </c>
      <c r="D60" t="s">
        <v>136</v>
      </c>
      <c r="E60" t="s">
        <v>73</v>
      </c>
      <c r="F60">
        <v>6</v>
      </c>
      <c r="G60">
        <v>3</v>
      </c>
      <c r="H60">
        <f t="shared" si="0"/>
        <v>18</v>
      </c>
      <c r="I60">
        <f t="shared" si="1"/>
        <v>104</v>
      </c>
      <c r="J60">
        <f t="shared" si="2"/>
        <v>11</v>
      </c>
      <c r="K60">
        <v>274</v>
      </c>
      <c r="L60" t="s">
        <v>92</v>
      </c>
      <c r="M60" t="s">
        <v>76</v>
      </c>
      <c r="N60" t="s">
        <v>89</v>
      </c>
      <c r="O60" t="s">
        <v>113</v>
      </c>
      <c r="P60">
        <v>1</v>
      </c>
      <c r="Q60">
        <v>0</v>
      </c>
      <c r="R60">
        <v>12</v>
      </c>
      <c r="S60">
        <v>1</v>
      </c>
      <c r="T60">
        <v>0</v>
      </c>
      <c r="U60">
        <v>0</v>
      </c>
      <c r="V60">
        <v>0</v>
      </c>
      <c r="W60">
        <v>55</v>
      </c>
      <c r="X60">
        <v>0</v>
      </c>
      <c r="Y60">
        <v>0</v>
      </c>
      <c r="Z60">
        <v>11</v>
      </c>
      <c r="AA60">
        <v>0</v>
      </c>
      <c r="AB60">
        <v>0</v>
      </c>
      <c r="AC60">
        <v>0</v>
      </c>
      <c r="AD60">
        <v>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</v>
      </c>
      <c r="AR60">
        <v>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0</v>
      </c>
      <c r="BR60">
        <v>0</v>
      </c>
      <c r="BS60">
        <v>0</v>
      </c>
      <c r="BT60">
        <v>4</v>
      </c>
    </row>
    <row r="61" spans="1:80" x14ac:dyDescent="0.2">
      <c r="A61" t="s">
        <v>131</v>
      </c>
      <c r="B61" s="10">
        <v>51.811216999999999</v>
      </c>
      <c r="C61" s="10">
        <v>-1.2882830000000001</v>
      </c>
      <c r="D61" t="s">
        <v>136</v>
      </c>
      <c r="E61" t="s">
        <v>73</v>
      </c>
      <c r="F61">
        <v>6</v>
      </c>
      <c r="G61">
        <v>3</v>
      </c>
      <c r="H61">
        <f t="shared" si="0"/>
        <v>18</v>
      </c>
      <c r="I61">
        <f t="shared" si="1"/>
        <v>45</v>
      </c>
      <c r="J61">
        <f t="shared" si="2"/>
        <v>8</v>
      </c>
      <c r="K61">
        <v>278</v>
      </c>
      <c r="L61" t="s">
        <v>92</v>
      </c>
      <c r="M61" t="s">
        <v>76</v>
      </c>
      <c r="N61" t="s">
        <v>75</v>
      </c>
      <c r="O61" t="s">
        <v>113</v>
      </c>
      <c r="P61">
        <v>0</v>
      </c>
      <c r="Q61">
        <v>0</v>
      </c>
      <c r="R61">
        <v>5</v>
      </c>
      <c r="S61">
        <v>0</v>
      </c>
      <c r="T61">
        <v>0</v>
      </c>
      <c r="U61">
        <v>0</v>
      </c>
      <c r="V61">
        <v>0</v>
      </c>
      <c r="W61">
        <v>16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15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4</v>
      </c>
    </row>
    <row r="62" spans="1:80" x14ac:dyDescent="0.2">
      <c r="A62" t="s">
        <v>72</v>
      </c>
      <c r="B62" s="10">
        <v>51.822099999999999</v>
      </c>
      <c r="C62" s="10">
        <v>-1.2992330000000001</v>
      </c>
      <c r="D62" t="s">
        <v>137</v>
      </c>
      <c r="E62" t="s">
        <v>73</v>
      </c>
      <c r="F62">
        <v>6</v>
      </c>
      <c r="G62">
        <v>3</v>
      </c>
      <c r="H62">
        <f t="shared" si="0"/>
        <v>18</v>
      </c>
      <c r="I62">
        <f t="shared" si="1"/>
        <v>85</v>
      </c>
      <c r="J62">
        <f t="shared" si="2"/>
        <v>11</v>
      </c>
      <c r="K62" s="11">
        <v>225</v>
      </c>
      <c r="L62" t="s">
        <v>74</v>
      </c>
      <c r="M62" t="s">
        <v>75</v>
      </c>
      <c r="N62" t="s">
        <v>76</v>
      </c>
      <c r="O62" t="s">
        <v>77</v>
      </c>
      <c r="P62">
        <v>1</v>
      </c>
      <c r="Q62">
        <v>0</v>
      </c>
      <c r="R62">
        <v>8</v>
      </c>
      <c r="S62">
        <v>0</v>
      </c>
      <c r="T62">
        <v>0</v>
      </c>
      <c r="U62">
        <v>0</v>
      </c>
      <c r="V62">
        <v>0</v>
      </c>
      <c r="W62">
        <v>15</v>
      </c>
      <c r="X62">
        <v>0</v>
      </c>
      <c r="Y62">
        <v>0</v>
      </c>
      <c r="Z62">
        <v>8</v>
      </c>
      <c r="AA62">
        <v>0</v>
      </c>
      <c r="AB62">
        <v>0</v>
      </c>
      <c r="AC62">
        <v>0</v>
      </c>
      <c r="AD62">
        <v>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15</v>
      </c>
      <c r="AR62">
        <v>1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22</v>
      </c>
      <c r="BQ62">
        <v>4</v>
      </c>
      <c r="BR62">
        <v>0</v>
      </c>
      <c r="BS62">
        <v>0</v>
      </c>
      <c r="BT62">
        <v>5</v>
      </c>
      <c r="CB62" s="11"/>
    </row>
    <row r="63" spans="1:80" x14ac:dyDescent="0.2">
      <c r="A63" t="s">
        <v>78</v>
      </c>
      <c r="B63" s="10">
        <v>51.822516999999998</v>
      </c>
      <c r="C63" s="10">
        <v>-1.3022499999999999</v>
      </c>
      <c r="D63" t="s">
        <v>137</v>
      </c>
      <c r="E63" t="s">
        <v>79</v>
      </c>
      <c r="F63">
        <v>8</v>
      </c>
      <c r="G63">
        <v>3</v>
      </c>
      <c r="H63">
        <f t="shared" si="0"/>
        <v>24</v>
      </c>
      <c r="I63">
        <f t="shared" si="1"/>
        <v>103</v>
      </c>
      <c r="J63">
        <f t="shared" si="2"/>
        <v>14</v>
      </c>
      <c r="K63">
        <v>150</v>
      </c>
      <c r="L63" t="s">
        <v>80</v>
      </c>
      <c r="M63" t="s">
        <v>81</v>
      </c>
      <c r="N63" t="s">
        <v>75</v>
      </c>
      <c r="O63" t="s">
        <v>77</v>
      </c>
      <c r="P63">
        <v>0</v>
      </c>
      <c r="Q63">
        <v>1</v>
      </c>
      <c r="R63">
        <v>6</v>
      </c>
      <c r="S63">
        <v>0</v>
      </c>
      <c r="T63">
        <v>0</v>
      </c>
      <c r="U63">
        <v>0</v>
      </c>
      <c r="V63">
        <v>0</v>
      </c>
      <c r="W63">
        <v>6</v>
      </c>
      <c r="X63">
        <v>0</v>
      </c>
      <c r="Y63">
        <v>0</v>
      </c>
      <c r="Z63">
        <v>7</v>
      </c>
      <c r="AA63">
        <v>0</v>
      </c>
      <c r="AB63">
        <v>0</v>
      </c>
      <c r="AC63">
        <v>0</v>
      </c>
      <c r="AD63">
        <v>21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8</v>
      </c>
      <c r="AR63">
        <v>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7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25</v>
      </c>
      <c r="BQ63">
        <v>3</v>
      </c>
      <c r="BR63">
        <v>0</v>
      </c>
      <c r="BS63">
        <v>0</v>
      </c>
      <c r="BT63">
        <v>11</v>
      </c>
    </row>
    <row r="64" spans="1:80" x14ac:dyDescent="0.2">
      <c r="A64" t="s">
        <v>82</v>
      </c>
      <c r="B64" s="10">
        <v>51.823616999999999</v>
      </c>
      <c r="C64" s="10">
        <v>-1.3056000000000001</v>
      </c>
      <c r="D64" t="s">
        <v>137</v>
      </c>
      <c r="E64" t="s">
        <v>73</v>
      </c>
      <c r="F64">
        <v>6</v>
      </c>
      <c r="G64">
        <v>3</v>
      </c>
      <c r="H64">
        <f t="shared" si="0"/>
        <v>18</v>
      </c>
      <c r="I64">
        <f t="shared" si="1"/>
        <v>110</v>
      </c>
      <c r="J64">
        <f t="shared" si="2"/>
        <v>14</v>
      </c>
      <c r="K64">
        <v>179</v>
      </c>
      <c r="L64" t="s">
        <v>83</v>
      </c>
      <c r="M64" t="s">
        <v>84</v>
      </c>
      <c r="N64" t="s">
        <v>85</v>
      </c>
      <c r="O64" t="s">
        <v>86</v>
      </c>
      <c r="P64">
        <v>5</v>
      </c>
      <c r="Q64">
        <v>0</v>
      </c>
      <c r="R64">
        <v>7</v>
      </c>
      <c r="S64">
        <v>0</v>
      </c>
      <c r="T64">
        <v>0</v>
      </c>
      <c r="U64">
        <v>0</v>
      </c>
      <c r="V64">
        <v>0</v>
      </c>
      <c r="W64">
        <v>12</v>
      </c>
      <c r="X64">
        <v>0</v>
      </c>
      <c r="Y64">
        <v>0</v>
      </c>
      <c r="Z64">
        <v>3</v>
      </c>
      <c r="AA64">
        <v>0</v>
      </c>
      <c r="AB64">
        <v>0</v>
      </c>
      <c r="AC64">
        <v>0</v>
      </c>
      <c r="AD64">
        <v>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23</v>
      </c>
      <c r="AR64">
        <v>7</v>
      </c>
      <c r="AS64">
        <v>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4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19</v>
      </c>
      <c r="BQ64">
        <v>13</v>
      </c>
      <c r="BR64">
        <v>0</v>
      </c>
      <c r="BS64">
        <v>0</v>
      </c>
      <c r="BT64">
        <v>4</v>
      </c>
    </row>
    <row r="65" spans="1:72" x14ac:dyDescent="0.2">
      <c r="A65" t="s">
        <v>87</v>
      </c>
      <c r="B65" s="10">
        <v>51.822032999999998</v>
      </c>
      <c r="C65" s="10">
        <v>-1.30945</v>
      </c>
      <c r="D65" t="s">
        <v>137</v>
      </c>
      <c r="E65" t="s">
        <v>73</v>
      </c>
      <c r="F65">
        <v>6</v>
      </c>
      <c r="G65">
        <v>3</v>
      </c>
      <c r="H65">
        <f t="shared" si="0"/>
        <v>18</v>
      </c>
      <c r="I65">
        <f t="shared" si="1"/>
        <v>61</v>
      </c>
      <c r="J65">
        <f t="shared" si="2"/>
        <v>16</v>
      </c>
      <c r="K65">
        <v>88</v>
      </c>
      <c r="L65" t="s">
        <v>88</v>
      </c>
      <c r="M65" t="s">
        <v>81</v>
      </c>
      <c r="N65" t="s">
        <v>89</v>
      </c>
      <c r="O65" t="s">
        <v>86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6</v>
      </c>
      <c r="W65">
        <v>10</v>
      </c>
      <c r="X65">
        <v>0</v>
      </c>
      <c r="Y65">
        <v>0</v>
      </c>
      <c r="Z65">
        <v>2</v>
      </c>
      <c r="AA65">
        <v>0</v>
      </c>
      <c r="AB65">
        <v>0</v>
      </c>
      <c r="AC65">
        <v>0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</v>
      </c>
      <c r="AR65">
        <v>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4</v>
      </c>
      <c r="BI65">
        <v>0</v>
      </c>
      <c r="BJ65">
        <v>1</v>
      </c>
      <c r="BK65">
        <v>1</v>
      </c>
      <c r="BL65">
        <v>1</v>
      </c>
      <c r="BM65">
        <v>0</v>
      </c>
      <c r="BN65">
        <v>0</v>
      </c>
      <c r="BO65">
        <v>0</v>
      </c>
      <c r="BP65">
        <v>3</v>
      </c>
      <c r="BQ65">
        <v>0</v>
      </c>
      <c r="BR65">
        <v>0</v>
      </c>
      <c r="BS65">
        <v>0</v>
      </c>
      <c r="BT65">
        <v>7</v>
      </c>
    </row>
    <row r="66" spans="1:72" x14ac:dyDescent="0.2">
      <c r="A66" t="s">
        <v>90</v>
      </c>
      <c r="B66" s="10">
        <v>51.820900000000002</v>
      </c>
      <c r="C66" s="10">
        <v>-1.3093669999999999</v>
      </c>
      <c r="D66" t="s">
        <v>137</v>
      </c>
      <c r="E66" t="s">
        <v>91</v>
      </c>
      <c r="F66">
        <v>2</v>
      </c>
      <c r="G66">
        <v>2</v>
      </c>
      <c r="H66">
        <f t="shared" ref="H66:H91" si="3">F66*G66</f>
        <v>4</v>
      </c>
      <c r="I66">
        <f t="shared" ref="I66:I91" si="4">SUM(P66:BT66)</f>
        <v>65</v>
      </c>
      <c r="J66">
        <f t="shared" ref="J66:J98" si="5">COUNTIF(P66:BT66,"&gt;0")</f>
        <v>6</v>
      </c>
      <c r="K66">
        <v>255</v>
      </c>
      <c r="L66" t="s">
        <v>92</v>
      </c>
      <c r="M66" t="s">
        <v>85</v>
      </c>
      <c r="N66" t="s">
        <v>84</v>
      </c>
      <c r="O66" t="s">
        <v>86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6</v>
      </c>
    </row>
    <row r="67" spans="1:72" x14ac:dyDescent="0.2">
      <c r="A67" t="s">
        <v>93</v>
      </c>
      <c r="B67" s="10">
        <v>51.818367000000002</v>
      </c>
      <c r="C67" s="10">
        <v>-1.3125830000000001</v>
      </c>
      <c r="D67" t="s">
        <v>137</v>
      </c>
      <c r="E67" t="s">
        <v>73</v>
      </c>
      <c r="F67">
        <v>6</v>
      </c>
      <c r="G67">
        <v>2</v>
      </c>
      <c r="H67">
        <f t="shared" si="3"/>
        <v>12</v>
      </c>
      <c r="I67">
        <f t="shared" si="4"/>
        <v>153</v>
      </c>
      <c r="J67">
        <f t="shared" si="5"/>
        <v>8</v>
      </c>
      <c r="K67">
        <v>255</v>
      </c>
      <c r="L67" t="s">
        <v>92</v>
      </c>
      <c r="M67" t="s">
        <v>75</v>
      </c>
      <c r="N67" t="s">
        <v>85</v>
      </c>
      <c r="O67" t="s">
        <v>94</v>
      </c>
      <c r="P67">
        <v>0</v>
      </c>
      <c r="Q67">
        <v>0</v>
      </c>
      <c r="R67">
        <v>6</v>
      </c>
      <c r="S67">
        <v>0</v>
      </c>
      <c r="T67">
        <v>0</v>
      </c>
      <c r="U67">
        <v>0</v>
      </c>
      <c r="V67">
        <v>0</v>
      </c>
      <c r="W67">
        <v>28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74</v>
      </c>
      <c r="AR67">
        <v>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5</v>
      </c>
      <c r="BQ67">
        <v>2</v>
      </c>
      <c r="BR67">
        <v>0</v>
      </c>
      <c r="BS67">
        <v>0</v>
      </c>
      <c r="BT67">
        <v>7</v>
      </c>
    </row>
    <row r="68" spans="1:72" x14ac:dyDescent="0.2">
      <c r="A68" t="s">
        <v>95</v>
      </c>
      <c r="B68" s="10">
        <v>51.817667</v>
      </c>
      <c r="C68" s="10">
        <v>-1.314683</v>
      </c>
      <c r="D68" t="s">
        <v>137</v>
      </c>
      <c r="E68" t="s">
        <v>96</v>
      </c>
      <c r="F68">
        <v>4</v>
      </c>
      <c r="G68">
        <v>3</v>
      </c>
      <c r="H68">
        <f t="shared" si="3"/>
        <v>12</v>
      </c>
      <c r="I68">
        <f t="shared" si="4"/>
        <v>93</v>
      </c>
      <c r="J68">
        <f t="shared" si="5"/>
        <v>10</v>
      </c>
      <c r="K68">
        <v>2</v>
      </c>
      <c r="L68" t="s">
        <v>97</v>
      </c>
      <c r="M68" t="s">
        <v>84</v>
      </c>
      <c r="N68" t="s">
        <v>84</v>
      </c>
      <c r="O68" t="s">
        <v>94</v>
      </c>
      <c r="P68">
        <v>0</v>
      </c>
      <c r="Q68">
        <v>0</v>
      </c>
      <c r="R68">
        <v>4</v>
      </c>
      <c r="S68">
        <v>1</v>
      </c>
      <c r="T68">
        <v>0</v>
      </c>
      <c r="U68">
        <v>0</v>
      </c>
      <c r="V68">
        <v>0</v>
      </c>
      <c r="W68">
        <v>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57</v>
      </c>
      <c r="AR68">
        <v>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5</v>
      </c>
      <c r="BQ68">
        <v>6</v>
      </c>
      <c r="BR68">
        <v>0</v>
      </c>
      <c r="BS68">
        <v>0</v>
      </c>
      <c r="BT68">
        <v>2</v>
      </c>
    </row>
    <row r="69" spans="1:72" x14ac:dyDescent="0.2">
      <c r="A69" t="s">
        <v>98</v>
      </c>
      <c r="B69" s="10">
        <v>51.817332999999998</v>
      </c>
      <c r="C69" s="10">
        <v>-1.3145</v>
      </c>
      <c r="D69" t="s">
        <v>137</v>
      </c>
      <c r="E69" t="s">
        <v>73</v>
      </c>
      <c r="F69">
        <v>6</v>
      </c>
      <c r="G69">
        <v>3</v>
      </c>
      <c r="H69">
        <f t="shared" si="3"/>
        <v>18</v>
      </c>
      <c r="I69">
        <f t="shared" si="4"/>
        <v>209</v>
      </c>
      <c r="J69">
        <f t="shared" si="5"/>
        <v>13</v>
      </c>
      <c r="K69">
        <v>171</v>
      </c>
      <c r="L69" t="s">
        <v>83</v>
      </c>
      <c r="M69" t="s">
        <v>81</v>
      </c>
      <c r="N69" t="s">
        <v>89</v>
      </c>
      <c r="O69" t="s">
        <v>99</v>
      </c>
      <c r="P69">
        <v>1</v>
      </c>
      <c r="Q69">
        <v>1</v>
      </c>
      <c r="R69">
        <v>7</v>
      </c>
      <c r="S69">
        <v>0</v>
      </c>
      <c r="T69">
        <v>0</v>
      </c>
      <c r="U69">
        <v>0</v>
      </c>
      <c r="V69">
        <v>0</v>
      </c>
      <c r="W69">
        <v>7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12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121</v>
      </c>
      <c r="AR69">
        <v>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0</v>
      </c>
      <c r="BM69">
        <v>0</v>
      </c>
      <c r="BN69">
        <v>0</v>
      </c>
      <c r="BO69">
        <v>0</v>
      </c>
      <c r="BP69">
        <v>6</v>
      </c>
      <c r="BQ69">
        <v>2</v>
      </c>
      <c r="BR69">
        <v>0</v>
      </c>
      <c r="BS69">
        <v>0</v>
      </c>
      <c r="BT69">
        <v>43</v>
      </c>
    </row>
    <row r="70" spans="1:72" x14ac:dyDescent="0.2">
      <c r="A70" s="12" t="s">
        <v>100</v>
      </c>
      <c r="B70" s="10">
        <v>51.816682999999998</v>
      </c>
      <c r="C70" s="10">
        <v>-1.31325</v>
      </c>
      <c r="D70" t="s">
        <v>137</v>
      </c>
      <c r="E70" t="s">
        <v>73</v>
      </c>
      <c r="F70">
        <v>6</v>
      </c>
      <c r="G70">
        <v>2</v>
      </c>
      <c r="H70">
        <f t="shared" si="3"/>
        <v>12</v>
      </c>
      <c r="I70">
        <f t="shared" si="4"/>
        <v>0</v>
      </c>
      <c r="J70">
        <f t="shared" si="5"/>
        <v>0</v>
      </c>
      <c r="K70">
        <v>268</v>
      </c>
      <c r="L70" t="s">
        <v>92</v>
      </c>
      <c r="M70" t="s">
        <v>75</v>
      </c>
      <c r="N70" t="s">
        <v>89</v>
      </c>
      <c r="O70" t="s">
        <v>94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">
      <c r="A71" t="s">
        <v>101</v>
      </c>
      <c r="B71" s="10">
        <v>51.815100000000001</v>
      </c>
      <c r="C71" s="10">
        <v>-1.313367</v>
      </c>
      <c r="D71" t="s">
        <v>137</v>
      </c>
      <c r="E71" t="s">
        <v>102</v>
      </c>
      <c r="F71">
        <v>1</v>
      </c>
      <c r="G71">
        <v>3</v>
      </c>
      <c r="H71">
        <f t="shared" si="3"/>
        <v>3</v>
      </c>
      <c r="I71">
        <f t="shared" si="4"/>
        <v>329</v>
      </c>
      <c r="J71">
        <f t="shared" si="5"/>
        <v>10</v>
      </c>
      <c r="K71">
        <v>333</v>
      </c>
      <c r="L71" t="s">
        <v>103</v>
      </c>
      <c r="M71" t="s">
        <v>104</v>
      </c>
      <c r="N71" t="s">
        <v>84</v>
      </c>
      <c r="O71" t="s">
        <v>94</v>
      </c>
      <c r="P71">
        <v>1</v>
      </c>
      <c r="Q71">
        <v>0</v>
      </c>
      <c r="R71">
        <v>4</v>
      </c>
      <c r="S71">
        <v>0</v>
      </c>
      <c r="T71">
        <v>0</v>
      </c>
      <c r="U71">
        <v>0</v>
      </c>
      <c r="V71">
        <v>0</v>
      </c>
      <c r="W71">
        <v>6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311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</row>
    <row r="72" spans="1:72" x14ac:dyDescent="0.2">
      <c r="A72" t="s">
        <v>105</v>
      </c>
      <c r="B72" s="10">
        <v>51.817749999999997</v>
      </c>
      <c r="C72" s="10">
        <v>-1.310883</v>
      </c>
      <c r="D72" t="s">
        <v>137</v>
      </c>
      <c r="E72" t="s">
        <v>96</v>
      </c>
      <c r="F72">
        <v>4</v>
      </c>
      <c r="G72">
        <v>3</v>
      </c>
      <c r="H72">
        <f t="shared" si="3"/>
        <v>12</v>
      </c>
      <c r="I72">
        <f t="shared" si="4"/>
        <v>79</v>
      </c>
      <c r="J72">
        <f t="shared" si="5"/>
        <v>10</v>
      </c>
      <c r="K72">
        <v>0</v>
      </c>
      <c r="L72" t="s">
        <v>97</v>
      </c>
      <c r="M72" t="s">
        <v>85</v>
      </c>
      <c r="N72" t="s">
        <v>84</v>
      </c>
      <c r="O72" t="s">
        <v>94</v>
      </c>
      <c r="P72">
        <v>1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11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48</v>
      </c>
      <c r="AR72">
        <v>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3</v>
      </c>
      <c r="BQ72">
        <v>0</v>
      </c>
      <c r="BR72">
        <v>0</v>
      </c>
      <c r="BS72">
        <v>0</v>
      </c>
      <c r="BT72">
        <v>5</v>
      </c>
    </row>
    <row r="73" spans="1:72" x14ac:dyDescent="0.2">
      <c r="A73" t="s">
        <v>106</v>
      </c>
      <c r="B73" s="10">
        <v>51.816133000000001</v>
      </c>
      <c r="C73" s="10">
        <v>-1.3091330000000001</v>
      </c>
      <c r="D73" t="s">
        <v>137</v>
      </c>
      <c r="E73" t="s">
        <v>96</v>
      </c>
      <c r="F73">
        <v>4</v>
      </c>
      <c r="G73">
        <v>3</v>
      </c>
      <c r="H73">
        <f t="shared" si="3"/>
        <v>12</v>
      </c>
      <c r="I73">
        <f t="shared" si="4"/>
        <v>73</v>
      </c>
      <c r="J73">
        <f t="shared" si="5"/>
        <v>5</v>
      </c>
      <c r="K73">
        <v>358</v>
      </c>
      <c r="L73" t="s">
        <v>97</v>
      </c>
      <c r="M73" t="s">
        <v>85</v>
      </c>
      <c r="N73" t="s">
        <v>85</v>
      </c>
      <c r="O73" t="s">
        <v>94</v>
      </c>
      <c r="P73">
        <v>0</v>
      </c>
      <c r="Q73">
        <v>0</v>
      </c>
      <c r="R73">
        <v>5</v>
      </c>
      <c r="S73">
        <v>0</v>
      </c>
      <c r="T73">
        <v>0</v>
      </c>
      <c r="U73">
        <v>0</v>
      </c>
      <c r="V73">
        <v>0</v>
      </c>
      <c r="W73">
        <v>18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17</v>
      </c>
    </row>
    <row r="74" spans="1:72" x14ac:dyDescent="0.2">
      <c r="A74" t="s">
        <v>107</v>
      </c>
      <c r="B74" s="10">
        <v>51.815100000000001</v>
      </c>
      <c r="C74" s="10">
        <v>-1.307833</v>
      </c>
      <c r="D74" t="s">
        <v>137</v>
      </c>
      <c r="E74" t="s">
        <v>96</v>
      </c>
      <c r="F74">
        <v>4</v>
      </c>
      <c r="G74">
        <v>3</v>
      </c>
      <c r="H74">
        <f t="shared" si="3"/>
        <v>12</v>
      </c>
      <c r="I74">
        <f t="shared" si="4"/>
        <v>120</v>
      </c>
      <c r="J74">
        <f t="shared" si="5"/>
        <v>12</v>
      </c>
      <c r="K74">
        <v>4</v>
      </c>
      <c r="L74" t="s">
        <v>97</v>
      </c>
      <c r="M74" t="s">
        <v>84</v>
      </c>
      <c r="N74" t="s">
        <v>84</v>
      </c>
      <c r="O74" t="s">
        <v>108</v>
      </c>
      <c r="P74">
        <v>0</v>
      </c>
      <c r="Q74">
        <v>0</v>
      </c>
      <c r="R74">
        <v>3</v>
      </c>
      <c r="S74">
        <v>0</v>
      </c>
      <c r="T74">
        <v>0</v>
      </c>
      <c r="U74">
        <v>0</v>
      </c>
      <c r="V74">
        <v>0</v>
      </c>
      <c r="W74">
        <v>24</v>
      </c>
      <c r="X74">
        <v>0</v>
      </c>
      <c r="Y74">
        <v>0</v>
      </c>
      <c r="Z74">
        <v>3</v>
      </c>
      <c r="AA74">
        <v>0</v>
      </c>
      <c r="AB74">
        <v>0</v>
      </c>
      <c r="AC74">
        <v>0</v>
      </c>
      <c r="AD74">
        <v>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72</v>
      </c>
      <c r="AR74">
        <v>5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2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2</v>
      </c>
      <c r="BQ74">
        <v>0</v>
      </c>
      <c r="BR74">
        <v>0</v>
      </c>
      <c r="BS74">
        <v>0</v>
      </c>
      <c r="BT74">
        <v>2</v>
      </c>
    </row>
    <row r="75" spans="1:72" x14ac:dyDescent="0.2">
      <c r="A75" t="s">
        <v>109</v>
      </c>
      <c r="B75" s="10">
        <v>51.816766999999999</v>
      </c>
      <c r="C75" s="10">
        <v>-1.3060499999999999</v>
      </c>
      <c r="D75" t="s">
        <v>137</v>
      </c>
      <c r="E75" t="s">
        <v>110</v>
      </c>
      <c r="F75">
        <v>2</v>
      </c>
      <c r="G75">
        <v>2</v>
      </c>
      <c r="H75">
        <f t="shared" si="3"/>
        <v>4</v>
      </c>
      <c r="I75">
        <f t="shared" si="4"/>
        <v>34</v>
      </c>
      <c r="J75">
        <f t="shared" si="5"/>
        <v>9</v>
      </c>
      <c r="K75">
        <v>268</v>
      </c>
      <c r="L75" t="s">
        <v>92</v>
      </c>
      <c r="M75" t="s">
        <v>104</v>
      </c>
      <c r="N75" t="s">
        <v>104</v>
      </c>
      <c r="O75" t="s">
        <v>99</v>
      </c>
      <c r="P75">
        <v>1</v>
      </c>
      <c r="Q75">
        <v>0</v>
      </c>
      <c r="R75">
        <v>6</v>
      </c>
      <c r="S75">
        <v>0</v>
      </c>
      <c r="T75">
        <v>0</v>
      </c>
      <c r="U75">
        <v>0</v>
      </c>
      <c r="V75">
        <v>0</v>
      </c>
      <c r="W75">
        <v>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0</v>
      </c>
      <c r="AF75">
        <v>0</v>
      </c>
      <c r="AG75">
        <v>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6</v>
      </c>
      <c r="BQ75">
        <v>0</v>
      </c>
      <c r="BR75">
        <v>0</v>
      </c>
      <c r="BS75">
        <v>0</v>
      </c>
      <c r="BT75">
        <v>4</v>
      </c>
    </row>
    <row r="76" spans="1:72" x14ac:dyDescent="0.2">
      <c r="A76" t="s">
        <v>111</v>
      </c>
      <c r="B76" s="10">
        <v>51.816682999999998</v>
      </c>
      <c r="C76" s="10">
        <v>-1.305917</v>
      </c>
      <c r="D76" t="s">
        <v>137</v>
      </c>
      <c r="E76" t="s">
        <v>110</v>
      </c>
      <c r="F76">
        <v>2</v>
      </c>
      <c r="G76">
        <v>2</v>
      </c>
      <c r="H76">
        <f t="shared" si="3"/>
        <v>4</v>
      </c>
      <c r="I76">
        <f t="shared" si="4"/>
        <v>106</v>
      </c>
      <c r="J76">
        <f t="shared" si="5"/>
        <v>13</v>
      </c>
      <c r="K76">
        <v>84</v>
      </c>
      <c r="L76" t="s">
        <v>88</v>
      </c>
      <c r="M76" t="s">
        <v>104</v>
      </c>
      <c r="N76" t="s">
        <v>104</v>
      </c>
      <c r="O76" t="s">
        <v>99</v>
      </c>
      <c r="P76">
        <v>2</v>
      </c>
      <c r="Q76">
        <v>1</v>
      </c>
      <c r="R76">
        <v>5</v>
      </c>
      <c r="S76">
        <v>0</v>
      </c>
      <c r="T76">
        <v>0</v>
      </c>
      <c r="U76">
        <v>0</v>
      </c>
      <c r="V76">
        <v>0</v>
      </c>
      <c r="W76">
        <v>35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</v>
      </c>
      <c r="AE76">
        <v>0</v>
      </c>
      <c r="AF76">
        <v>0</v>
      </c>
      <c r="AG76">
        <v>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27</v>
      </c>
      <c r="AR76">
        <v>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</v>
      </c>
      <c r="BM76">
        <v>0</v>
      </c>
      <c r="BN76">
        <v>0</v>
      </c>
      <c r="BO76">
        <v>0</v>
      </c>
      <c r="BP76">
        <v>10</v>
      </c>
      <c r="BQ76">
        <v>6</v>
      </c>
      <c r="BR76">
        <v>0</v>
      </c>
      <c r="BS76">
        <v>0</v>
      </c>
      <c r="BT76">
        <v>1</v>
      </c>
    </row>
    <row r="77" spans="1:72" x14ac:dyDescent="0.2">
      <c r="A77" t="s">
        <v>112</v>
      </c>
      <c r="B77" s="10">
        <v>51.815632999999998</v>
      </c>
      <c r="C77" s="10">
        <v>-1.2991999999999999</v>
      </c>
      <c r="D77" t="s">
        <v>137</v>
      </c>
      <c r="E77" t="s">
        <v>96</v>
      </c>
      <c r="F77">
        <v>4</v>
      </c>
      <c r="G77">
        <v>3</v>
      </c>
      <c r="H77">
        <f t="shared" si="3"/>
        <v>12</v>
      </c>
      <c r="I77">
        <f t="shared" si="4"/>
        <v>87</v>
      </c>
      <c r="J77">
        <f t="shared" si="5"/>
        <v>14</v>
      </c>
      <c r="K77">
        <v>179</v>
      </c>
      <c r="L77" t="s">
        <v>83</v>
      </c>
      <c r="M77" t="s">
        <v>84</v>
      </c>
      <c r="N77" t="s">
        <v>85</v>
      </c>
      <c r="O77" t="s">
        <v>113</v>
      </c>
      <c r="P77">
        <v>0</v>
      </c>
      <c r="Q77">
        <v>0</v>
      </c>
      <c r="R77">
        <v>14</v>
      </c>
      <c r="S77">
        <v>0</v>
      </c>
      <c r="T77">
        <v>0</v>
      </c>
      <c r="U77">
        <v>0</v>
      </c>
      <c r="V77">
        <v>0</v>
      </c>
      <c r="W77">
        <v>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9</v>
      </c>
      <c r="AR77">
        <v>2</v>
      </c>
      <c r="AS77">
        <v>1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2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34</v>
      </c>
      <c r="BQ77">
        <v>8</v>
      </c>
      <c r="BR77">
        <v>0</v>
      </c>
      <c r="BS77">
        <v>0</v>
      </c>
      <c r="BT77">
        <v>3</v>
      </c>
    </row>
    <row r="78" spans="1:72" x14ac:dyDescent="0.2">
      <c r="A78" t="s">
        <v>114</v>
      </c>
      <c r="B78" s="10">
        <v>51.815617000000003</v>
      </c>
      <c r="C78" s="10">
        <v>-1.3024169999999999</v>
      </c>
      <c r="D78" t="s">
        <v>137</v>
      </c>
      <c r="E78" t="s">
        <v>73</v>
      </c>
      <c r="F78">
        <v>6</v>
      </c>
      <c r="G78">
        <v>3</v>
      </c>
      <c r="H78">
        <f t="shared" si="3"/>
        <v>18</v>
      </c>
      <c r="I78">
        <f t="shared" si="4"/>
        <v>92</v>
      </c>
      <c r="J78">
        <f t="shared" si="5"/>
        <v>10</v>
      </c>
      <c r="K78">
        <v>182</v>
      </c>
      <c r="L78" t="s">
        <v>83</v>
      </c>
      <c r="M78" t="s">
        <v>85</v>
      </c>
      <c r="N78" t="s">
        <v>85</v>
      </c>
      <c r="O78" t="s">
        <v>115</v>
      </c>
      <c r="P78">
        <v>5</v>
      </c>
      <c r="Q78">
        <v>0</v>
      </c>
      <c r="R78">
        <v>9</v>
      </c>
      <c r="S78">
        <v>0</v>
      </c>
      <c r="T78">
        <v>0</v>
      </c>
      <c r="U78">
        <v>0</v>
      </c>
      <c r="V78">
        <v>0</v>
      </c>
      <c r="W78">
        <v>27</v>
      </c>
      <c r="X78">
        <v>0</v>
      </c>
      <c r="Y78">
        <v>0</v>
      </c>
      <c r="Z78">
        <v>4</v>
      </c>
      <c r="AA78">
        <v>0</v>
      </c>
      <c r="AB78">
        <v>0</v>
      </c>
      <c r="AC78">
        <v>0</v>
      </c>
      <c r="AD78">
        <v>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14</v>
      </c>
      <c r="BQ78">
        <v>0</v>
      </c>
      <c r="BR78">
        <v>1</v>
      </c>
      <c r="BS78">
        <v>0</v>
      </c>
      <c r="BT78">
        <v>22</v>
      </c>
    </row>
    <row r="79" spans="1:72" x14ac:dyDescent="0.2">
      <c r="A79" t="s">
        <v>116</v>
      </c>
      <c r="B79" s="10">
        <v>51.813732999999999</v>
      </c>
      <c r="C79" s="10">
        <v>-1.3007169999999999</v>
      </c>
      <c r="D79" t="s">
        <v>137</v>
      </c>
      <c r="E79" t="s">
        <v>96</v>
      </c>
      <c r="F79">
        <v>4</v>
      </c>
      <c r="G79">
        <v>2</v>
      </c>
      <c r="H79">
        <f t="shared" si="3"/>
        <v>8</v>
      </c>
      <c r="I79">
        <f t="shared" si="4"/>
        <v>81</v>
      </c>
      <c r="J79">
        <f t="shared" si="5"/>
        <v>14</v>
      </c>
      <c r="K79">
        <v>165</v>
      </c>
      <c r="L79" t="s">
        <v>83</v>
      </c>
      <c r="M79" t="s">
        <v>76</v>
      </c>
      <c r="N79" t="s">
        <v>84</v>
      </c>
      <c r="O79" t="s">
        <v>86</v>
      </c>
      <c r="P79">
        <v>2</v>
      </c>
      <c r="Q79">
        <v>0</v>
      </c>
      <c r="R79">
        <v>10</v>
      </c>
      <c r="S79">
        <v>1</v>
      </c>
      <c r="T79">
        <v>0</v>
      </c>
      <c r="U79">
        <v>1</v>
      </c>
      <c r="V79">
        <v>0</v>
      </c>
      <c r="W79">
        <v>15</v>
      </c>
      <c r="X79">
        <v>0</v>
      </c>
      <c r="Y79">
        <v>0</v>
      </c>
      <c r="Z79">
        <v>3</v>
      </c>
      <c r="AA79">
        <v>0</v>
      </c>
      <c r="AB79">
        <v>0</v>
      </c>
      <c r="AC79">
        <v>0</v>
      </c>
      <c r="AD79">
        <v>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12</v>
      </c>
      <c r="AR79">
        <v>1</v>
      </c>
      <c r="AS79">
        <v>1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6</v>
      </c>
      <c r="BQ79">
        <v>0</v>
      </c>
      <c r="BR79">
        <v>0</v>
      </c>
      <c r="BS79">
        <v>0</v>
      </c>
      <c r="BT79">
        <v>21</v>
      </c>
    </row>
    <row r="80" spans="1:72" x14ac:dyDescent="0.2">
      <c r="A80" t="s">
        <v>117</v>
      </c>
      <c r="B80" s="10">
        <v>51.810867000000002</v>
      </c>
      <c r="C80" s="10">
        <v>-1.3022</v>
      </c>
      <c r="D80" t="s">
        <v>137</v>
      </c>
      <c r="E80" t="s">
        <v>79</v>
      </c>
      <c r="F80">
        <v>8</v>
      </c>
      <c r="G80">
        <v>3</v>
      </c>
      <c r="H80">
        <f t="shared" si="3"/>
        <v>24</v>
      </c>
      <c r="I80">
        <f t="shared" si="4"/>
        <v>38</v>
      </c>
      <c r="J80">
        <f t="shared" si="5"/>
        <v>9</v>
      </c>
      <c r="K80">
        <v>314</v>
      </c>
      <c r="L80" t="s">
        <v>103</v>
      </c>
      <c r="M80" t="s">
        <v>118</v>
      </c>
      <c r="N80" t="s">
        <v>75</v>
      </c>
      <c r="O80" t="s">
        <v>86</v>
      </c>
      <c r="P80">
        <v>1</v>
      </c>
      <c r="Q80">
        <v>0</v>
      </c>
      <c r="R80">
        <v>3</v>
      </c>
      <c r="S80">
        <v>0</v>
      </c>
      <c r="T80">
        <v>0</v>
      </c>
      <c r="U80">
        <v>0</v>
      </c>
      <c r="V80">
        <v>0</v>
      </c>
      <c r="W80">
        <v>3</v>
      </c>
      <c r="X80">
        <v>0</v>
      </c>
      <c r="Y80">
        <v>0</v>
      </c>
      <c r="Z80">
        <v>10</v>
      </c>
      <c r="AA80">
        <v>0</v>
      </c>
      <c r="AB80">
        <v>0</v>
      </c>
      <c r="AC80">
        <v>0</v>
      </c>
      <c r="AD80">
        <v>7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3</v>
      </c>
    </row>
    <row r="81" spans="1:72" x14ac:dyDescent="0.2">
      <c r="A81" s="12" t="s">
        <v>119</v>
      </c>
      <c r="B81" s="10">
        <v>51.818550000000002</v>
      </c>
      <c r="C81" s="10">
        <v>-1.2959670000000001</v>
      </c>
      <c r="D81" t="s">
        <v>137</v>
      </c>
      <c r="E81" t="s">
        <v>79</v>
      </c>
      <c r="F81">
        <v>8</v>
      </c>
      <c r="G81">
        <v>3</v>
      </c>
      <c r="H81">
        <f t="shared" si="3"/>
        <v>24</v>
      </c>
      <c r="I81">
        <f t="shared" si="4"/>
        <v>0</v>
      </c>
      <c r="J81">
        <f t="shared" si="5"/>
        <v>0</v>
      </c>
      <c r="K81">
        <v>211</v>
      </c>
      <c r="L81" t="s">
        <v>74</v>
      </c>
      <c r="M81" t="s">
        <v>118</v>
      </c>
      <c r="N81" t="s">
        <v>89</v>
      </c>
      <c r="O81" t="s">
        <v>115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">
      <c r="A82" t="s">
        <v>120</v>
      </c>
      <c r="B82" s="10">
        <v>51.816716999999997</v>
      </c>
      <c r="C82" s="10">
        <v>-1.293917</v>
      </c>
      <c r="D82" t="s">
        <v>137</v>
      </c>
      <c r="E82" t="s">
        <v>79</v>
      </c>
      <c r="F82">
        <v>8</v>
      </c>
      <c r="G82">
        <v>2</v>
      </c>
      <c r="H82">
        <f t="shared" si="3"/>
        <v>16</v>
      </c>
      <c r="I82">
        <f t="shared" si="4"/>
        <v>47</v>
      </c>
      <c r="J82">
        <f t="shared" si="5"/>
        <v>10</v>
      </c>
      <c r="K82">
        <v>174</v>
      </c>
      <c r="L82" t="s">
        <v>83</v>
      </c>
      <c r="M82" t="s">
        <v>89</v>
      </c>
      <c r="N82" t="s">
        <v>85</v>
      </c>
      <c r="O82" t="s">
        <v>121</v>
      </c>
      <c r="P82">
        <v>1</v>
      </c>
      <c r="Q82">
        <v>0</v>
      </c>
      <c r="R82">
        <v>9</v>
      </c>
      <c r="S82">
        <v>0</v>
      </c>
      <c r="T82">
        <v>0</v>
      </c>
      <c r="U82">
        <v>0</v>
      </c>
      <c r="V82">
        <v>0</v>
      </c>
      <c r="W82">
        <v>10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10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12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</row>
    <row r="83" spans="1:72" x14ac:dyDescent="0.2">
      <c r="A83" t="s">
        <v>122</v>
      </c>
      <c r="B83" s="10">
        <v>51.815533000000002</v>
      </c>
      <c r="C83" s="10">
        <v>-1.2947500000000001</v>
      </c>
      <c r="D83" t="s">
        <v>137</v>
      </c>
      <c r="E83" t="s">
        <v>73</v>
      </c>
      <c r="F83">
        <v>6</v>
      </c>
      <c r="G83">
        <v>3</v>
      </c>
      <c r="H83">
        <f t="shared" si="3"/>
        <v>18</v>
      </c>
      <c r="I83">
        <f t="shared" si="4"/>
        <v>55</v>
      </c>
      <c r="J83">
        <f t="shared" si="5"/>
        <v>13</v>
      </c>
      <c r="K83">
        <v>350</v>
      </c>
      <c r="L83" t="s">
        <v>97</v>
      </c>
      <c r="M83" t="s">
        <v>89</v>
      </c>
      <c r="N83" t="s">
        <v>85</v>
      </c>
      <c r="O83" t="s">
        <v>121</v>
      </c>
      <c r="P83">
        <v>2</v>
      </c>
      <c r="Q83">
        <v>0</v>
      </c>
      <c r="R83">
        <v>4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</v>
      </c>
      <c r="AR83">
        <v>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2</v>
      </c>
      <c r="BM83">
        <v>0</v>
      </c>
      <c r="BN83">
        <v>0</v>
      </c>
      <c r="BO83">
        <v>0</v>
      </c>
      <c r="BP83">
        <v>11</v>
      </c>
      <c r="BQ83">
        <v>6</v>
      </c>
      <c r="BR83">
        <v>0</v>
      </c>
      <c r="BS83">
        <v>0</v>
      </c>
      <c r="BT83">
        <v>4</v>
      </c>
    </row>
    <row r="84" spans="1:72" x14ac:dyDescent="0.2">
      <c r="A84" t="s">
        <v>123</v>
      </c>
      <c r="B84" s="10">
        <v>51.815832999999998</v>
      </c>
      <c r="C84" s="10">
        <v>-1.29295</v>
      </c>
      <c r="D84" t="s">
        <v>137</v>
      </c>
      <c r="E84" t="s">
        <v>73</v>
      </c>
      <c r="F84">
        <v>6</v>
      </c>
      <c r="G84">
        <v>3</v>
      </c>
      <c r="H84">
        <f t="shared" si="3"/>
        <v>18</v>
      </c>
      <c r="I84">
        <f t="shared" si="4"/>
        <v>111</v>
      </c>
      <c r="J84">
        <f t="shared" si="5"/>
        <v>15</v>
      </c>
      <c r="K84">
        <v>161</v>
      </c>
      <c r="L84" t="s">
        <v>124</v>
      </c>
      <c r="M84" t="s">
        <v>76</v>
      </c>
      <c r="N84" t="s">
        <v>85</v>
      </c>
      <c r="O84" t="s">
        <v>121</v>
      </c>
      <c r="P84">
        <v>3</v>
      </c>
      <c r="Q84">
        <v>0</v>
      </c>
      <c r="R84">
        <v>9</v>
      </c>
      <c r="S84">
        <v>0</v>
      </c>
      <c r="T84">
        <v>0</v>
      </c>
      <c r="U84">
        <v>0</v>
      </c>
      <c r="V84">
        <v>0</v>
      </c>
      <c r="W84">
        <v>6</v>
      </c>
      <c r="X84">
        <v>0</v>
      </c>
      <c r="Y84">
        <v>0</v>
      </c>
      <c r="Z84">
        <v>2</v>
      </c>
      <c r="AA84">
        <v>0</v>
      </c>
      <c r="AB84">
        <v>0</v>
      </c>
      <c r="AC84">
        <v>1</v>
      </c>
      <c r="AD84">
        <v>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18</v>
      </c>
      <c r="AR84">
        <v>0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1</v>
      </c>
      <c r="BO84">
        <v>0</v>
      </c>
      <c r="BP84">
        <v>52</v>
      </c>
      <c r="BQ84">
        <v>3</v>
      </c>
      <c r="BR84">
        <v>0</v>
      </c>
      <c r="BS84">
        <v>0</v>
      </c>
      <c r="BT84">
        <v>2</v>
      </c>
    </row>
    <row r="85" spans="1:72" x14ac:dyDescent="0.2">
      <c r="A85" t="s">
        <v>125</v>
      </c>
      <c r="B85" s="10">
        <v>51.815133000000003</v>
      </c>
      <c r="C85" s="10">
        <v>-1.2927</v>
      </c>
      <c r="D85" t="s">
        <v>137</v>
      </c>
      <c r="E85" t="s">
        <v>79</v>
      </c>
      <c r="F85">
        <v>8</v>
      </c>
      <c r="G85">
        <v>3</v>
      </c>
      <c r="H85">
        <f t="shared" si="3"/>
        <v>24</v>
      </c>
      <c r="I85">
        <f t="shared" si="4"/>
        <v>61</v>
      </c>
      <c r="J85">
        <f t="shared" si="5"/>
        <v>13</v>
      </c>
      <c r="K85">
        <v>287</v>
      </c>
      <c r="L85" t="s">
        <v>92</v>
      </c>
      <c r="M85" t="s">
        <v>81</v>
      </c>
      <c r="N85" t="s">
        <v>89</v>
      </c>
      <c r="O85" t="s">
        <v>121</v>
      </c>
      <c r="P85">
        <v>1</v>
      </c>
      <c r="Q85">
        <v>0</v>
      </c>
      <c r="R85">
        <v>17</v>
      </c>
      <c r="S85">
        <v>0</v>
      </c>
      <c r="T85">
        <v>0</v>
      </c>
      <c r="U85">
        <v>0</v>
      </c>
      <c r="V85">
        <v>0</v>
      </c>
      <c r="W85">
        <v>4</v>
      </c>
      <c r="X85">
        <v>0</v>
      </c>
      <c r="Y85">
        <v>0</v>
      </c>
      <c r="Z85">
        <v>0</v>
      </c>
      <c r="AA85">
        <v>0</v>
      </c>
      <c r="AB85">
        <v>0</v>
      </c>
      <c r="AC85">
        <v>4</v>
      </c>
      <c r="AD85">
        <v>8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13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6</v>
      </c>
      <c r="BQ85">
        <v>1</v>
      </c>
      <c r="BR85">
        <v>0</v>
      </c>
      <c r="BS85">
        <v>0</v>
      </c>
      <c r="BT85">
        <v>3</v>
      </c>
    </row>
    <row r="86" spans="1:72" x14ac:dyDescent="0.2">
      <c r="A86" t="s">
        <v>126</v>
      </c>
      <c r="B86" s="10">
        <v>51.815100000000001</v>
      </c>
      <c r="C86" s="10">
        <v>-1.2924329999999999</v>
      </c>
      <c r="D86" t="s">
        <v>137</v>
      </c>
      <c r="E86" t="s">
        <v>79</v>
      </c>
      <c r="F86">
        <v>8</v>
      </c>
      <c r="G86">
        <v>3</v>
      </c>
      <c r="H86">
        <f t="shared" si="3"/>
        <v>24</v>
      </c>
      <c r="I86">
        <f t="shared" si="4"/>
        <v>119</v>
      </c>
      <c r="J86">
        <f t="shared" si="5"/>
        <v>14</v>
      </c>
      <c r="K86">
        <v>117</v>
      </c>
      <c r="L86" t="s">
        <v>80</v>
      </c>
      <c r="M86" t="s">
        <v>81</v>
      </c>
      <c r="N86" t="s">
        <v>89</v>
      </c>
      <c r="O86" t="s">
        <v>113</v>
      </c>
      <c r="P86">
        <v>0</v>
      </c>
      <c r="Q86">
        <v>0</v>
      </c>
      <c r="R86">
        <v>8</v>
      </c>
      <c r="S86">
        <v>0</v>
      </c>
      <c r="T86">
        <v>0</v>
      </c>
      <c r="U86">
        <v>0</v>
      </c>
      <c r="V86">
        <v>0</v>
      </c>
      <c r="W86">
        <v>19</v>
      </c>
      <c r="X86">
        <v>1</v>
      </c>
      <c r="Y86">
        <v>0</v>
      </c>
      <c r="Z86">
        <v>15</v>
      </c>
      <c r="AA86">
        <v>1</v>
      </c>
      <c r="AB86">
        <v>0</v>
      </c>
      <c r="AC86">
        <v>0</v>
      </c>
      <c r="AD86">
        <v>21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20</v>
      </c>
      <c r="AR86">
        <v>3</v>
      </c>
      <c r="AS86">
        <v>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3</v>
      </c>
      <c r="BI86">
        <v>0</v>
      </c>
      <c r="BJ86">
        <v>0</v>
      </c>
      <c r="BK86">
        <v>3</v>
      </c>
      <c r="BL86">
        <v>0</v>
      </c>
      <c r="BM86">
        <v>0</v>
      </c>
      <c r="BN86">
        <v>0</v>
      </c>
      <c r="BO86">
        <v>0</v>
      </c>
      <c r="BP86">
        <v>2</v>
      </c>
      <c r="BQ86">
        <v>0</v>
      </c>
      <c r="BR86">
        <v>0</v>
      </c>
      <c r="BS86">
        <v>0</v>
      </c>
      <c r="BT86">
        <v>12</v>
      </c>
    </row>
    <row r="87" spans="1:72" x14ac:dyDescent="0.2">
      <c r="A87" t="s">
        <v>127</v>
      </c>
      <c r="B87" s="10">
        <v>51.812600000000003</v>
      </c>
      <c r="C87" s="10">
        <v>-1.293833</v>
      </c>
      <c r="D87" t="s">
        <v>137</v>
      </c>
      <c r="E87" t="s">
        <v>79</v>
      </c>
      <c r="F87">
        <v>8</v>
      </c>
      <c r="G87">
        <v>3</v>
      </c>
      <c r="H87">
        <f t="shared" si="3"/>
        <v>24</v>
      </c>
      <c r="I87">
        <f t="shared" si="4"/>
        <v>91</v>
      </c>
      <c r="J87">
        <f t="shared" si="5"/>
        <v>16</v>
      </c>
      <c r="K87">
        <v>102</v>
      </c>
      <c r="L87" t="s">
        <v>88</v>
      </c>
      <c r="M87" t="s">
        <v>89</v>
      </c>
      <c r="N87" t="s">
        <v>75</v>
      </c>
      <c r="O87" t="s">
        <v>113</v>
      </c>
      <c r="P87">
        <v>1</v>
      </c>
      <c r="Q87">
        <v>4</v>
      </c>
      <c r="R87">
        <v>10</v>
      </c>
      <c r="S87">
        <v>2</v>
      </c>
      <c r="T87">
        <v>0</v>
      </c>
      <c r="U87">
        <v>0</v>
      </c>
      <c r="V87">
        <v>0</v>
      </c>
      <c r="W87">
        <v>6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20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</v>
      </c>
      <c r="AR87">
        <v>10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3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5</v>
      </c>
      <c r="BQ87">
        <v>2</v>
      </c>
      <c r="BR87">
        <v>0</v>
      </c>
      <c r="BS87">
        <v>0</v>
      </c>
      <c r="BT87">
        <v>7</v>
      </c>
    </row>
    <row r="88" spans="1:72" x14ac:dyDescent="0.2">
      <c r="A88" t="s">
        <v>128</v>
      </c>
      <c r="B88" s="10">
        <v>51.809583000000003</v>
      </c>
      <c r="C88" s="10">
        <v>-1.2956669999999999</v>
      </c>
      <c r="D88" t="s">
        <v>137</v>
      </c>
      <c r="E88" t="s">
        <v>79</v>
      </c>
      <c r="F88">
        <v>8</v>
      </c>
      <c r="G88">
        <v>3</v>
      </c>
      <c r="H88">
        <f t="shared" si="3"/>
        <v>24</v>
      </c>
      <c r="I88">
        <f t="shared" si="4"/>
        <v>109</v>
      </c>
      <c r="J88">
        <f t="shared" si="5"/>
        <v>16</v>
      </c>
      <c r="K88">
        <v>98</v>
      </c>
      <c r="L88" t="s">
        <v>88</v>
      </c>
      <c r="M88" t="s">
        <v>75</v>
      </c>
      <c r="N88" t="s">
        <v>75</v>
      </c>
      <c r="O88" t="s">
        <v>113</v>
      </c>
      <c r="P88">
        <v>1</v>
      </c>
      <c r="Q88">
        <v>0</v>
      </c>
      <c r="R88">
        <v>14</v>
      </c>
      <c r="S88">
        <v>0</v>
      </c>
      <c r="T88">
        <v>0</v>
      </c>
      <c r="U88">
        <v>0</v>
      </c>
      <c r="V88">
        <v>0</v>
      </c>
      <c r="W88">
        <v>8</v>
      </c>
      <c r="X88">
        <v>0</v>
      </c>
      <c r="Y88">
        <v>0</v>
      </c>
      <c r="Z88">
        <v>5</v>
      </c>
      <c r="AA88">
        <v>0</v>
      </c>
      <c r="AB88">
        <v>0</v>
      </c>
      <c r="AC88">
        <v>0</v>
      </c>
      <c r="AD88">
        <v>13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2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15</v>
      </c>
      <c r="AR88">
        <v>16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5</v>
      </c>
      <c r="BI88">
        <v>0</v>
      </c>
      <c r="BJ88">
        <v>0</v>
      </c>
      <c r="BK88">
        <v>2</v>
      </c>
      <c r="BL88">
        <v>0</v>
      </c>
      <c r="BM88">
        <v>0</v>
      </c>
      <c r="BN88">
        <v>0</v>
      </c>
      <c r="BO88">
        <v>0</v>
      </c>
      <c r="BP88">
        <v>8</v>
      </c>
      <c r="BQ88">
        <v>5</v>
      </c>
      <c r="BR88">
        <v>0</v>
      </c>
      <c r="BS88">
        <v>0</v>
      </c>
      <c r="BT88">
        <v>12</v>
      </c>
    </row>
    <row r="89" spans="1:72" x14ac:dyDescent="0.2">
      <c r="A89" t="s">
        <v>129</v>
      </c>
      <c r="B89" s="10">
        <v>51.807749999999999</v>
      </c>
      <c r="C89" s="10">
        <v>-1.29295</v>
      </c>
      <c r="D89" t="s">
        <v>137</v>
      </c>
      <c r="E89" t="s">
        <v>79</v>
      </c>
      <c r="F89">
        <v>8</v>
      </c>
      <c r="G89">
        <v>2</v>
      </c>
      <c r="H89">
        <f t="shared" si="3"/>
        <v>16</v>
      </c>
      <c r="I89">
        <f t="shared" si="4"/>
        <v>78</v>
      </c>
      <c r="J89">
        <f t="shared" si="5"/>
        <v>16</v>
      </c>
      <c r="K89">
        <v>285</v>
      </c>
      <c r="L89" t="s">
        <v>92</v>
      </c>
      <c r="M89" t="s">
        <v>75</v>
      </c>
      <c r="N89" t="s">
        <v>89</v>
      </c>
      <c r="O89" t="s">
        <v>113</v>
      </c>
      <c r="P89">
        <v>3</v>
      </c>
      <c r="Q89">
        <v>0</v>
      </c>
      <c r="R89">
        <v>3</v>
      </c>
      <c r="S89">
        <v>1</v>
      </c>
      <c r="T89">
        <v>0</v>
      </c>
      <c r="U89">
        <v>0</v>
      </c>
      <c r="V89">
        <v>0</v>
      </c>
      <c r="W89">
        <v>25</v>
      </c>
      <c r="X89">
        <v>0</v>
      </c>
      <c r="Y89">
        <v>1</v>
      </c>
      <c r="Z89">
        <v>10</v>
      </c>
      <c r="AA89">
        <v>0</v>
      </c>
      <c r="AB89">
        <v>0</v>
      </c>
      <c r="AC89">
        <v>3</v>
      </c>
      <c r="AD89">
        <v>11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6</v>
      </c>
      <c r="AR89">
        <v>5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2</v>
      </c>
      <c r="BQ89">
        <v>1</v>
      </c>
      <c r="BR89">
        <v>0</v>
      </c>
      <c r="BS89">
        <v>0</v>
      </c>
      <c r="BT89">
        <v>4</v>
      </c>
    </row>
    <row r="90" spans="1:72" x14ac:dyDescent="0.2">
      <c r="A90" t="s">
        <v>130</v>
      </c>
      <c r="B90" s="10">
        <v>51.808599999999998</v>
      </c>
      <c r="C90" s="10">
        <v>-1.288683</v>
      </c>
      <c r="D90" t="s">
        <v>137</v>
      </c>
      <c r="E90" t="s">
        <v>73</v>
      </c>
      <c r="F90">
        <v>6</v>
      </c>
      <c r="G90">
        <v>3</v>
      </c>
      <c r="H90">
        <f t="shared" si="3"/>
        <v>18</v>
      </c>
      <c r="I90">
        <f t="shared" si="4"/>
        <v>67</v>
      </c>
      <c r="J90">
        <f t="shared" si="5"/>
        <v>14</v>
      </c>
      <c r="K90">
        <v>274</v>
      </c>
      <c r="L90" t="s">
        <v>92</v>
      </c>
      <c r="M90" t="s">
        <v>76</v>
      </c>
      <c r="N90" t="s">
        <v>89</v>
      </c>
      <c r="O90" t="s">
        <v>113</v>
      </c>
      <c r="P90">
        <v>0</v>
      </c>
      <c r="Q90">
        <v>0</v>
      </c>
      <c r="R90">
        <v>4</v>
      </c>
      <c r="S90">
        <v>5</v>
      </c>
      <c r="T90">
        <v>0</v>
      </c>
      <c r="U90">
        <v>0</v>
      </c>
      <c r="V90">
        <v>0</v>
      </c>
      <c r="W90">
        <v>20</v>
      </c>
      <c r="X90">
        <v>0</v>
      </c>
      <c r="Y90">
        <v>1</v>
      </c>
      <c r="Z90">
        <v>3</v>
      </c>
      <c r="AA90">
        <v>0</v>
      </c>
      <c r="AB90">
        <v>0</v>
      </c>
      <c r="AC90">
        <v>1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12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2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</v>
      </c>
      <c r="BO90">
        <v>0</v>
      </c>
      <c r="BP90">
        <v>3</v>
      </c>
      <c r="BQ90">
        <v>3</v>
      </c>
      <c r="BR90">
        <v>0</v>
      </c>
      <c r="BS90">
        <v>0</v>
      </c>
      <c r="BT90">
        <v>6</v>
      </c>
    </row>
    <row r="91" spans="1:72" x14ac:dyDescent="0.2">
      <c r="A91" t="s">
        <v>131</v>
      </c>
      <c r="B91" s="10">
        <v>51.811216999999999</v>
      </c>
      <c r="C91" s="10">
        <v>-1.2882830000000001</v>
      </c>
      <c r="D91" t="s">
        <v>137</v>
      </c>
      <c r="E91" t="s">
        <v>73</v>
      </c>
      <c r="F91">
        <v>6</v>
      </c>
      <c r="G91">
        <v>3</v>
      </c>
      <c r="H91">
        <f t="shared" si="3"/>
        <v>18</v>
      </c>
      <c r="I91">
        <f t="shared" si="4"/>
        <v>71</v>
      </c>
      <c r="J91">
        <f t="shared" si="5"/>
        <v>8</v>
      </c>
      <c r="K91">
        <v>278</v>
      </c>
      <c r="L91" t="s">
        <v>92</v>
      </c>
      <c r="M91" t="s">
        <v>76</v>
      </c>
      <c r="N91" t="s">
        <v>75</v>
      </c>
      <c r="O91" t="s">
        <v>113</v>
      </c>
      <c r="P91">
        <v>0</v>
      </c>
      <c r="Q91">
        <v>0</v>
      </c>
      <c r="R91">
        <v>10</v>
      </c>
      <c r="S91">
        <v>0</v>
      </c>
      <c r="T91">
        <v>0</v>
      </c>
      <c r="U91">
        <v>0</v>
      </c>
      <c r="V91">
        <v>0</v>
      </c>
      <c r="W91">
        <v>10</v>
      </c>
      <c r="X91">
        <v>0</v>
      </c>
      <c r="Y91">
        <v>0</v>
      </c>
      <c r="Z91">
        <v>5</v>
      </c>
      <c r="AA91">
        <v>0</v>
      </c>
      <c r="AB91">
        <v>0</v>
      </c>
      <c r="AC91">
        <v>0</v>
      </c>
      <c r="AD91">
        <v>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18</v>
      </c>
      <c r="AR91">
        <v>15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3</v>
      </c>
      <c r="BQ91">
        <v>0</v>
      </c>
      <c r="BR91">
        <v>0</v>
      </c>
      <c r="BS91">
        <v>0</v>
      </c>
      <c r="BT91">
        <v>2</v>
      </c>
    </row>
    <row r="92" spans="1:72" x14ac:dyDescent="0.2">
      <c r="I92">
        <f>SUM(I2:I91)</f>
        <v>12677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DB00-C934-A14A-A65B-16D08DB12A4D}">
  <dimension ref="A1:BT91"/>
  <sheetViews>
    <sheetView workbookViewId="0">
      <selection activeCell="B1" sqref="B1:B1048576"/>
    </sheetView>
  </sheetViews>
  <sheetFormatPr baseColWidth="10" defaultRowHeight="16" x14ac:dyDescent="0.2"/>
  <cols>
    <col min="2" max="2" width="5.33203125" bestFit="1" customWidth="1"/>
  </cols>
  <sheetData>
    <row r="1" spans="1:72" ht="187" x14ac:dyDescent="0.2">
      <c r="A1" s="14" t="s">
        <v>0</v>
      </c>
      <c r="B1" s="1" t="s">
        <v>134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4" t="s">
        <v>15</v>
      </c>
      <c r="O1" s="14" t="s">
        <v>16</v>
      </c>
      <c r="P1" s="14" t="s">
        <v>17</v>
      </c>
      <c r="Q1" s="14" t="s">
        <v>142</v>
      </c>
      <c r="R1" s="14" t="s">
        <v>143</v>
      </c>
      <c r="S1" s="14" t="s">
        <v>22</v>
      </c>
      <c r="T1" s="14" t="s">
        <v>144</v>
      </c>
      <c r="U1" s="14" t="s">
        <v>145</v>
      </c>
      <c r="V1" s="14" t="s">
        <v>146</v>
      </c>
      <c r="W1" s="14" t="s">
        <v>147</v>
      </c>
      <c r="X1" s="14" t="s">
        <v>148</v>
      </c>
      <c r="Y1" s="26" t="s">
        <v>29</v>
      </c>
      <c r="Z1" s="17" t="s">
        <v>149</v>
      </c>
      <c r="AA1" s="17" t="s">
        <v>31</v>
      </c>
      <c r="AB1" s="17" t="s">
        <v>150</v>
      </c>
      <c r="AC1" s="17" t="s">
        <v>32</v>
      </c>
      <c r="AD1" s="17" t="s">
        <v>151</v>
      </c>
      <c r="AE1" s="17" t="s">
        <v>152</v>
      </c>
      <c r="AF1" s="17" t="s">
        <v>34</v>
      </c>
      <c r="AG1" s="17" t="s">
        <v>153</v>
      </c>
      <c r="AH1" s="17" t="s">
        <v>154</v>
      </c>
      <c r="AI1" s="17" t="s">
        <v>37</v>
      </c>
      <c r="AJ1" s="17" t="s">
        <v>155</v>
      </c>
      <c r="AK1" s="17" t="s">
        <v>156</v>
      </c>
      <c r="AL1" s="17" t="s">
        <v>39</v>
      </c>
      <c r="AM1" s="27" t="s">
        <v>157</v>
      </c>
      <c r="AN1" s="27" t="s">
        <v>158</v>
      </c>
      <c r="AO1" s="27" t="s">
        <v>159</v>
      </c>
      <c r="AP1" s="18" t="s">
        <v>160</v>
      </c>
      <c r="AQ1" s="18" t="s">
        <v>161</v>
      </c>
      <c r="AR1" s="18" t="s">
        <v>162</v>
      </c>
      <c r="AS1" s="18" t="s">
        <v>71</v>
      </c>
      <c r="AT1" s="18" t="s">
        <v>57</v>
      </c>
      <c r="AU1" s="18" t="s">
        <v>163</v>
      </c>
      <c r="AV1" s="18" t="s">
        <v>164</v>
      </c>
      <c r="AW1" s="18" t="s">
        <v>165</v>
      </c>
      <c r="AX1" s="18" t="s">
        <v>166</v>
      </c>
      <c r="AY1" s="18" t="s">
        <v>167</v>
      </c>
      <c r="AZ1" s="18" t="s">
        <v>168</v>
      </c>
      <c r="BA1" s="18" t="s">
        <v>169</v>
      </c>
      <c r="BB1" s="18" t="s">
        <v>170</v>
      </c>
      <c r="BC1" s="18" t="s">
        <v>171</v>
      </c>
      <c r="BD1" s="18" t="s">
        <v>172</v>
      </c>
      <c r="BE1" s="18" t="s">
        <v>67</v>
      </c>
      <c r="BF1" s="18" t="s">
        <v>173</v>
      </c>
      <c r="BG1" s="34" t="s">
        <v>45</v>
      </c>
      <c r="BH1" s="34" t="s">
        <v>174</v>
      </c>
      <c r="BI1" s="34" t="s">
        <v>175</v>
      </c>
      <c r="BJ1" s="34" t="s">
        <v>176</v>
      </c>
      <c r="BK1" s="34" t="s">
        <v>177</v>
      </c>
      <c r="BL1" s="34" t="s">
        <v>178</v>
      </c>
      <c r="BM1" s="34" t="s">
        <v>179</v>
      </c>
      <c r="BN1" s="34" t="s">
        <v>180</v>
      </c>
      <c r="BO1" s="34" t="s">
        <v>181</v>
      </c>
      <c r="BP1" s="34" t="s">
        <v>182</v>
      </c>
      <c r="BQ1" s="14" t="s">
        <v>183</v>
      </c>
      <c r="BR1" s="14" t="s">
        <v>184</v>
      </c>
      <c r="BS1" s="14" t="s">
        <v>185</v>
      </c>
      <c r="BT1" s="14" t="s">
        <v>186</v>
      </c>
    </row>
    <row r="2" spans="1:72" x14ac:dyDescent="0.2">
      <c r="A2" s="15" t="s">
        <v>72</v>
      </c>
      <c r="B2" t="s">
        <v>135</v>
      </c>
      <c r="C2" s="15" t="s">
        <v>73</v>
      </c>
      <c r="D2" s="15">
        <v>6</v>
      </c>
      <c r="E2" s="15">
        <v>3</v>
      </c>
      <c r="F2" s="15">
        <v>18</v>
      </c>
      <c r="G2" s="15">
        <v>38</v>
      </c>
      <c r="H2" s="15">
        <v>17</v>
      </c>
      <c r="I2" s="29">
        <v>225</v>
      </c>
      <c r="J2" s="15" t="s">
        <v>74</v>
      </c>
      <c r="K2" s="15" t="s">
        <v>75</v>
      </c>
      <c r="L2" s="15" t="s">
        <v>76</v>
      </c>
      <c r="M2" s="15" t="s">
        <v>77</v>
      </c>
      <c r="N2" s="15">
        <v>0</v>
      </c>
      <c r="O2" s="15">
        <v>0</v>
      </c>
      <c r="P2" s="15">
        <v>8</v>
      </c>
      <c r="Q2" s="15">
        <v>0</v>
      </c>
      <c r="R2" s="15">
        <v>0</v>
      </c>
      <c r="S2" s="15">
        <v>0</v>
      </c>
      <c r="T2" s="15">
        <v>1</v>
      </c>
      <c r="U2" s="15">
        <v>0</v>
      </c>
      <c r="V2" s="15">
        <v>0</v>
      </c>
      <c r="W2" s="15">
        <v>4</v>
      </c>
      <c r="X2" s="15">
        <v>0</v>
      </c>
      <c r="Y2" s="15">
        <v>2</v>
      </c>
      <c r="Z2" s="15">
        <v>0</v>
      </c>
      <c r="AA2" s="15">
        <v>0</v>
      </c>
      <c r="AB2" s="15">
        <v>0</v>
      </c>
      <c r="AC2" s="15">
        <v>1</v>
      </c>
      <c r="AD2" s="15">
        <v>0</v>
      </c>
      <c r="AE2" s="15">
        <v>1</v>
      </c>
      <c r="AF2" s="15">
        <v>0</v>
      </c>
      <c r="AG2" s="15">
        <v>0</v>
      </c>
      <c r="AH2" s="15">
        <v>4</v>
      </c>
      <c r="AI2" s="15">
        <v>2</v>
      </c>
      <c r="AJ2" s="15">
        <v>4</v>
      </c>
      <c r="AK2" s="15">
        <v>0</v>
      </c>
      <c r="AL2" s="15">
        <v>0</v>
      </c>
      <c r="AM2" s="15">
        <v>0</v>
      </c>
      <c r="AN2" s="15">
        <v>1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1</v>
      </c>
      <c r="AU2" s="15">
        <v>3</v>
      </c>
      <c r="AV2" s="15">
        <v>2</v>
      </c>
      <c r="AW2" s="15">
        <v>0</v>
      </c>
      <c r="AX2" s="15">
        <v>1</v>
      </c>
      <c r="AY2" s="15">
        <v>0</v>
      </c>
      <c r="AZ2" s="15">
        <v>1</v>
      </c>
      <c r="BA2" s="15">
        <v>0</v>
      </c>
      <c r="BB2" s="15">
        <v>0</v>
      </c>
      <c r="BC2" s="15">
        <v>0</v>
      </c>
      <c r="BD2" s="15">
        <v>0</v>
      </c>
      <c r="BE2" s="15">
        <v>1</v>
      </c>
      <c r="BF2" s="15">
        <v>0</v>
      </c>
      <c r="BG2" s="15">
        <v>0</v>
      </c>
      <c r="BH2" s="15">
        <v>0</v>
      </c>
      <c r="BI2" s="15">
        <v>0</v>
      </c>
      <c r="BJ2" s="15">
        <v>0</v>
      </c>
      <c r="BK2" s="15">
        <v>0</v>
      </c>
      <c r="BL2" s="15">
        <v>0</v>
      </c>
      <c r="BM2" s="15">
        <v>0</v>
      </c>
      <c r="BN2" s="15">
        <v>0</v>
      </c>
      <c r="BO2" s="15">
        <v>0</v>
      </c>
      <c r="BP2" s="15">
        <v>0</v>
      </c>
      <c r="BQ2" s="15">
        <v>1</v>
      </c>
      <c r="BR2" s="15">
        <v>0</v>
      </c>
      <c r="BS2" s="15">
        <v>0</v>
      </c>
      <c r="BT2" s="15">
        <v>0</v>
      </c>
    </row>
    <row r="3" spans="1:72" x14ac:dyDescent="0.2">
      <c r="A3" s="15" t="s">
        <v>78</v>
      </c>
      <c r="B3" t="s">
        <v>135</v>
      </c>
      <c r="C3" s="15" t="s">
        <v>79</v>
      </c>
      <c r="D3" s="15">
        <v>8</v>
      </c>
      <c r="E3" s="15">
        <v>3</v>
      </c>
      <c r="F3" s="15">
        <v>24</v>
      </c>
      <c r="G3" s="15">
        <v>73</v>
      </c>
      <c r="H3" s="15">
        <v>19</v>
      </c>
      <c r="I3" s="15">
        <v>150</v>
      </c>
      <c r="J3" s="15" t="s">
        <v>80</v>
      </c>
      <c r="K3" s="15" t="s">
        <v>81</v>
      </c>
      <c r="L3" s="15" t="s">
        <v>75</v>
      </c>
      <c r="M3" s="15" t="s">
        <v>77</v>
      </c>
      <c r="N3" s="15">
        <v>0</v>
      </c>
      <c r="O3" s="15">
        <v>0</v>
      </c>
      <c r="P3" s="15">
        <v>14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2</v>
      </c>
      <c r="W3" s="15">
        <v>3</v>
      </c>
      <c r="X3" s="15">
        <v>0</v>
      </c>
      <c r="Y3" s="15">
        <v>0</v>
      </c>
      <c r="Z3" s="15">
        <v>1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13</v>
      </c>
      <c r="AI3" s="15">
        <v>2</v>
      </c>
      <c r="AJ3" s="15">
        <v>0</v>
      </c>
      <c r="AK3" s="15">
        <v>1</v>
      </c>
      <c r="AL3" s="15">
        <v>0</v>
      </c>
      <c r="AM3" s="15">
        <v>1</v>
      </c>
      <c r="AN3" s="15">
        <v>4</v>
      </c>
      <c r="AO3" s="15">
        <v>0</v>
      </c>
      <c r="AP3" s="15">
        <v>0</v>
      </c>
      <c r="AQ3" s="15">
        <v>0</v>
      </c>
      <c r="AR3" s="15">
        <v>0</v>
      </c>
      <c r="AS3" s="15">
        <v>1</v>
      </c>
      <c r="AT3" s="15">
        <v>4</v>
      </c>
      <c r="AU3" s="15">
        <v>5</v>
      </c>
      <c r="AV3" s="15">
        <v>2</v>
      </c>
      <c r="AW3" s="15">
        <v>0</v>
      </c>
      <c r="AX3" s="15">
        <v>5</v>
      </c>
      <c r="AY3" s="15">
        <v>0</v>
      </c>
      <c r="AZ3" s="15">
        <v>6</v>
      </c>
      <c r="BA3" s="15">
        <v>0</v>
      </c>
      <c r="BB3" s="15">
        <v>0</v>
      </c>
      <c r="BC3" s="15">
        <v>0</v>
      </c>
      <c r="BD3" s="15">
        <v>0</v>
      </c>
      <c r="BE3" s="15">
        <v>4</v>
      </c>
      <c r="BF3" s="15">
        <v>0</v>
      </c>
      <c r="BG3" s="15">
        <v>0</v>
      </c>
      <c r="BH3" s="15">
        <v>0</v>
      </c>
      <c r="BI3" s="15">
        <v>0</v>
      </c>
      <c r="BJ3" s="15">
        <v>1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2</v>
      </c>
      <c r="BS3" s="15">
        <v>0</v>
      </c>
      <c r="BT3" s="15">
        <v>2</v>
      </c>
    </row>
    <row r="4" spans="1:72" x14ac:dyDescent="0.2">
      <c r="A4" s="15" t="s">
        <v>82</v>
      </c>
      <c r="B4" t="s">
        <v>135</v>
      </c>
      <c r="C4" s="15" t="s">
        <v>73</v>
      </c>
      <c r="D4" s="15">
        <v>6</v>
      </c>
      <c r="E4" s="15">
        <v>3</v>
      </c>
      <c r="F4" s="15">
        <v>18</v>
      </c>
      <c r="G4" s="15">
        <v>26</v>
      </c>
      <c r="H4" s="15">
        <v>14</v>
      </c>
      <c r="I4" s="15">
        <v>179</v>
      </c>
      <c r="J4" s="15" t="s">
        <v>83</v>
      </c>
      <c r="K4" s="15" t="s">
        <v>84</v>
      </c>
      <c r="L4" s="15" t="s">
        <v>85</v>
      </c>
      <c r="M4" s="15" t="s">
        <v>86</v>
      </c>
      <c r="N4" s="15">
        <v>0</v>
      </c>
      <c r="O4" s="15">
        <v>1</v>
      </c>
      <c r="P4" s="15">
        <v>6</v>
      </c>
      <c r="Q4" s="15">
        <v>0</v>
      </c>
      <c r="R4" s="15">
        <v>0</v>
      </c>
      <c r="S4" s="15">
        <v>0</v>
      </c>
      <c r="T4" s="15">
        <v>1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1</v>
      </c>
      <c r="AD4" s="15">
        <v>0</v>
      </c>
      <c r="AE4" s="15">
        <v>1</v>
      </c>
      <c r="AF4" s="15">
        <v>0</v>
      </c>
      <c r="AG4" s="15">
        <v>0</v>
      </c>
      <c r="AH4" s="15">
        <v>4</v>
      </c>
      <c r="AI4" s="15">
        <v>1</v>
      </c>
      <c r="AJ4" s="15">
        <v>0</v>
      </c>
      <c r="AK4" s="15">
        <v>0</v>
      </c>
      <c r="AL4" s="15">
        <v>1</v>
      </c>
      <c r="AM4" s="15">
        <v>0</v>
      </c>
      <c r="AN4" s="15">
        <v>1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5</v>
      </c>
      <c r="AU4" s="15">
        <v>1</v>
      </c>
      <c r="AV4" s="15">
        <v>0</v>
      </c>
      <c r="AW4" s="15">
        <v>0</v>
      </c>
      <c r="AX4" s="15">
        <v>1</v>
      </c>
      <c r="AY4" s="15">
        <v>0</v>
      </c>
      <c r="AZ4" s="15">
        <v>1</v>
      </c>
      <c r="BA4" s="15">
        <v>0</v>
      </c>
      <c r="BB4" s="15">
        <v>0</v>
      </c>
      <c r="BC4" s="15">
        <v>0</v>
      </c>
      <c r="BD4" s="15">
        <v>0</v>
      </c>
      <c r="BE4" s="15">
        <v>1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</row>
    <row r="5" spans="1:72" x14ac:dyDescent="0.2">
      <c r="A5" s="15" t="s">
        <v>87</v>
      </c>
      <c r="B5" t="s">
        <v>135</v>
      </c>
      <c r="C5" s="15" t="s">
        <v>73</v>
      </c>
      <c r="D5" s="15">
        <v>6</v>
      </c>
      <c r="E5" s="15">
        <v>3</v>
      </c>
      <c r="F5" s="15">
        <v>18</v>
      </c>
      <c r="G5" s="15">
        <v>53</v>
      </c>
      <c r="H5" s="15">
        <v>13</v>
      </c>
      <c r="I5" s="15">
        <v>88</v>
      </c>
      <c r="J5" s="15" t="s">
        <v>88</v>
      </c>
      <c r="K5" s="15" t="s">
        <v>81</v>
      </c>
      <c r="L5" s="15" t="s">
        <v>89</v>
      </c>
      <c r="M5" s="15" t="s">
        <v>86</v>
      </c>
      <c r="N5" s="15">
        <v>0</v>
      </c>
      <c r="O5" s="15">
        <v>0</v>
      </c>
      <c r="P5" s="15">
        <v>9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2</v>
      </c>
      <c r="X5" s="15">
        <v>0</v>
      </c>
      <c r="Y5" s="15">
        <v>0</v>
      </c>
      <c r="Z5" s="15">
        <v>1</v>
      </c>
      <c r="AA5" s="15">
        <v>0</v>
      </c>
      <c r="AB5" s="15">
        <v>0</v>
      </c>
      <c r="AC5" s="15">
        <v>1</v>
      </c>
      <c r="AD5" s="15">
        <v>0</v>
      </c>
      <c r="AE5" s="15">
        <v>0</v>
      </c>
      <c r="AF5" s="15">
        <v>0</v>
      </c>
      <c r="AG5" s="15">
        <v>0</v>
      </c>
      <c r="AH5" s="15">
        <v>11</v>
      </c>
      <c r="AI5" s="15">
        <v>0</v>
      </c>
      <c r="AJ5" s="15">
        <v>0</v>
      </c>
      <c r="AK5" s="15">
        <v>0</v>
      </c>
      <c r="AL5" s="15">
        <v>1</v>
      </c>
      <c r="AM5" s="15">
        <v>4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3</v>
      </c>
      <c r="AU5" s="15">
        <v>1</v>
      </c>
      <c r="AV5" s="15">
        <v>1</v>
      </c>
      <c r="AW5" s="15">
        <v>0</v>
      </c>
      <c r="AX5" s="15">
        <v>0</v>
      </c>
      <c r="AY5" s="15">
        <v>15</v>
      </c>
      <c r="AZ5" s="15">
        <v>2</v>
      </c>
      <c r="BA5" s="15">
        <v>0</v>
      </c>
      <c r="BB5" s="15">
        <v>0</v>
      </c>
      <c r="BC5" s="15">
        <v>0</v>
      </c>
      <c r="BD5" s="15">
        <v>0</v>
      </c>
      <c r="BE5" s="15">
        <v>2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</row>
    <row r="6" spans="1:72" x14ac:dyDescent="0.2">
      <c r="A6" s="15" t="s">
        <v>90</v>
      </c>
      <c r="B6" t="s">
        <v>135</v>
      </c>
      <c r="C6" s="15" t="s">
        <v>91</v>
      </c>
      <c r="D6" s="15">
        <v>2</v>
      </c>
      <c r="E6" s="15">
        <v>2</v>
      </c>
      <c r="F6" s="15">
        <v>4</v>
      </c>
      <c r="G6" s="15">
        <v>30</v>
      </c>
      <c r="H6" s="15">
        <v>12</v>
      </c>
      <c r="I6" s="15">
        <v>255</v>
      </c>
      <c r="J6" s="15" t="s">
        <v>92</v>
      </c>
      <c r="K6" s="15" t="s">
        <v>85</v>
      </c>
      <c r="L6" s="15" t="s">
        <v>84</v>
      </c>
      <c r="M6" s="15" t="s">
        <v>86</v>
      </c>
      <c r="N6" s="15">
        <v>1</v>
      </c>
      <c r="O6" s="15">
        <v>0</v>
      </c>
      <c r="P6" s="15">
        <v>4</v>
      </c>
      <c r="Q6" s="15">
        <v>2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5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1</v>
      </c>
      <c r="AD6" s="15">
        <v>0</v>
      </c>
      <c r="AE6" s="15">
        <v>3</v>
      </c>
      <c r="AF6" s="15">
        <v>0</v>
      </c>
      <c r="AG6" s="15">
        <v>0</v>
      </c>
      <c r="AH6" s="15">
        <v>7</v>
      </c>
      <c r="AI6" s="15">
        <v>0</v>
      </c>
      <c r="AJ6" s="15">
        <v>0</v>
      </c>
      <c r="AK6" s="15">
        <v>0</v>
      </c>
      <c r="AL6" s="15">
        <v>0</v>
      </c>
      <c r="AM6" s="15">
        <v>1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1</v>
      </c>
      <c r="AU6" s="15">
        <v>2</v>
      </c>
      <c r="AV6" s="15">
        <v>0</v>
      </c>
      <c r="AW6" s="15">
        <v>0</v>
      </c>
      <c r="AX6" s="15">
        <v>0</v>
      </c>
      <c r="AY6" s="15">
        <v>0</v>
      </c>
      <c r="AZ6" s="15">
        <v>2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1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</row>
    <row r="7" spans="1:72" x14ac:dyDescent="0.2">
      <c r="A7" s="15" t="s">
        <v>93</v>
      </c>
      <c r="B7" t="s">
        <v>135</v>
      </c>
      <c r="C7" s="15" t="s">
        <v>73</v>
      </c>
      <c r="D7" s="15">
        <v>6</v>
      </c>
      <c r="E7" s="15">
        <v>2</v>
      </c>
      <c r="F7" s="15">
        <v>12</v>
      </c>
      <c r="G7" s="15">
        <v>34</v>
      </c>
      <c r="H7" s="15">
        <v>9</v>
      </c>
      <c r="I7" s="15">
        <v>255</v>
      </c>
      <c r="J7" s="15" t="s">
        <v>92</v>
      </c>
      <c r="K7" s="15" t="s">
        <v>75</v>
      </c>
      <c r="L7" s="15" t="s">
        <v>85</v>
      </c>
      <c r="M7" s="15" t="s">
        <v>94</v>
      </c>
      <c r="N7" s="15">
        <v>0</v>
      </c>
      <c r="O7" s="15">
        <v>0</v>
      </c>
      <c r="P7" s="15">
        <v>7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5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2</v>
      </c>
      <c r="AI7" s="15">
        <v>0</v>
      </c>
      <c r="AJ7" s="15">
        <v>0</v>
      </c>
      <c r="AK7" s="15">
        <v>0</v>
      </c>
      <c r="AL7" s="15">
        <v>0</v>
      </c>
      <c r="AM7" s="15">
        <v>2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1</v>
      </c>
      <c r="AT7" s="15">
        <v>2</v>
      </c>
      <c r="AU7" s="15">
        <v>12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2</v>
      </c>
      <c r="BF7" s="15">
        <v>1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</row>
    <row r="8" spans="1:72" x14ac:dyDescent="0.2">
      <c r="A8" s="15" t="s">
        <v>95</v>
      </c>
      <c r="B8" t="s">
        <v>135</v>
      </c>
      <c r="C8" s="15" t="s">
        <v>96</v>
      </c>
      <c r="D8" s="15">
        <v>4</v>
      </c>
      <c r="E8" s="15">
        <v>3</v>
      </c>
      <c r="F8" s="15">
        <v>12</v>
      </c>
      <c r="G8" s="15">
        <v>39</v>
      </c>
      <c r="H8" s="15">
        <v>8</v>
      </c>
      <c r="I8" s="15">
        <v>2</v>
      </c>
      <c r="J8" s="15" t="s">
        <v>97</v>
      </c>
      <c r="K8" s="15" t="s">
        <v>84</v>
      </c>
      <c r="L8" s="15" t="s">
        <v>84</v>
      </c>
      <c r="M8" s="15" t="s">
        <v>94</v>
      </c>
      <c r="N8" s="15">
        <v>0</v>
      </c>
      <c r="O8" s="15">
        <v>0</v>
      </c>
      <c r="P8" s="15">
        <v>8</v>
      </c>
      <c r="Q8" s="15">
        <v>1</v>
      </c>
      <c r="R8" s="15">
        <v>0</v>
      </c>
      <c r="S8" s="15">
        <v>0</v>
      </c>
      <c r="T8" s="15">
        <v>1</v>
      </c>
      <c r="U8" s="15">
        <v>0</v>
      </c>
      <c r="V8" s="15">
        <v>0</v>
      </c>
      <c r="W8" s="15">
        <v>3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1</v>
      </c>
      <c r="AI8" s="15">
        <v>0</v>
      </c>
      <c r="AJ8" s="15">
        <v>0</v>
      </c>
      <c r="AK8" s="15">
        <v>0</v>
      </c>
      <c r="AL8" s="15">
        <v>0</v>
      </c>
      <c r="AM8" s="15">
        <v>10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2</v>
      </c>
      <c r="AU8" s="15">
        <v>13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</row>
    <row r="9" spans="1:72" x14ac:dyDescent="0.2">
      <c r="A9" s="15" t="s">
        <v>98</v>
      </c>
      <c r="B9" t="s">
        <v>135</v>
      </c>
      <c r="C9" s="15" t="s">
        <v>73</v>
      </c>
      <c r="D9" s="15">
        <v>6</v>
      </c>
      <c r="E9" s="15">
        <v>3</v>
      </c>
      <c r="F9" s="15">
        <v>18</v>
      </c>
      <c r="G9" s="15">
        <v>57</v>
      </c>
      <c r="H9" s="15">
        <v>14</v>
      </c>
      <c r="I9" s="15">
        <v>171</v>
      </c>
      <c r="J9" s="15" t="s">
        <v>83</v>
      </c>
      <c r="K9" s="15" t="s">
        <v>81</v>
      </c>
      <c r="L9" s="15" t="s">
        <v>89</v>
      </c>
      <c r="M9" s="15" t="s">
        <v>99</v>
      </c>
      <c r="N9" s="15">
        <v>1</v>
      </c>
      <c r="O9" s="15">
        <v>0</v>
      </c>
      <c r="P9" s="15">
        <v>16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5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2</v>
      </c>
      <c r="AF9" s="15">
        <v>0</v>
      </c>
      <c r="AG9" s="15">
        <v>0</v>
      </c>
      <c r="AH9" s="15">
        <v>16</v>
      </c>
      <c r="AI9" s="15">
        <v>1</v>
      </c>
      <c r="AJ9" s="15">
        <v>0</v>
      </c>
      <c r="AK9" s="15">
        <v>0</v>
      </c>
      <c r="AL9" s="15">
        <v>1</v>
      </c>
      <c r="AM9" s="15">
        <v>1</v>
      </c>
      <c r="AN9" s="15">
        <v>1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2</v>
      </c>
      <c r="AU9" s="15">
        <v>7</v>
      </c>
      <c r="AV9" s="15">
        <v>1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1</v>
      </c>
      <c r="BE9" s="15">
        <v>2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</row>
    <row r="10" spans="1:72" x14ac:dyDescent="0.2">
      <c r="A10" s="15" t="s">
        <v>100</v>
      </c>
      <c r="B10" t="s">
        <v>135</v>
      </c>
      <c r="C10" s="15" t="s">
        <v>73</v>
      </c>
      <c r="D10" s="15">
        <v>6</v>
      </c>
      <c r="E10" s="15">
        <v>2</v>
      </c>
      <c r="F10" s="15">
        <v>12</v>
      </c>
      <c r="G10" s="15">
        <v>26</v>
      </c>
      <c r="H10" s="15">
        <v>11</v>
      </c>
      <c r="I10" s="15">
        <v>268</v>
      </c>
      <c r="J10" s="15" t="s">
        <v>92</v>
      </c>
      <c r="K10" s="15" t="s">
        <v>75</v>
      </c>
      <c r="L10" s="15" t="s">
        <v>89</v>
      </c>
      <c r="M10" s="15" t="s">
        <v>94</v>
      </c>
      <c r="N10" s="15">
        <v>1</v>
      </c>
      <c r="O10" s="15">
        <v>0</v>
      </c>
      <c r="P10" s="15">
        <v>5</v>
      </c>
      <c r="Q10" s="15">
        <v>0</v>
      </c>
      <c r="R10" s="15">
        <v>0</v>
      </c>
      <c r="S10" s="15">
        <v>0</v>
      </c>
      <c r="T10" s="15">
        <v>1</v>
      </c>
      <c r="U10" s="15">
        <v>0</v>
      </c>
      <c r="V10" s="15">
        <v>0</v>
      </c>
      <c r="W10" s="15">
        <v>5</v>
      </c>
      <c r="X10" s="15">
        <v>0</v>
      </c>
      <c r="Y10" s="15">
        <v>0</v>
      </c>
      <c r="Z10" s="15">
        <v>1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6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1</v>
      </c>
      <c r="AO10" s="15">
        <v>0</v>
      </c>
      <c r="AP10" s="15">
        <v>0</v>
      </c>
      <c r="AQ10" s="15">
        <v>0</v>
      </c>
      <c r="AR10" s="15">
        <v>0</v>
      </c>
      <c r="AS10" s="15">
        <v>1</v>
      </c>
      <c r="AT10" s="15">
        <v>3</v>
      </c>
      <c r="AU10" s="15">
        <v>1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1</v>
      </c>
      <c r="BS10" s="15">
        <v>0</v>
      </c>
      <c r="BT10" s="15">
        <v>0</v>
      </c>
    </row>
    <row r="11" spans="1:72" x14ac:dyDescent="0.2">
      <c r="A11" s="15" t="s">
        <v>101</v>
      </c>
      <c r="B11" t="s">
        <v>135</v>
      </c>
      <c r="C11" s="15" t="s">
        <v>102</v>
      </c>
      <c r="D11" s="15">
        <v>1</v>
      </c>
      <c r="E11" s="15">
        <v>3</v>
      </c>
      <c r="F11" s="15">
        <v>3</v>
      </c>
      <c r="G11" s="15">
        <v>36</v>
      </c>
      <c r="H11" s="15">
        <v>9</v>
      </c>
      <c r="I11" s="15">
        <v>333</v>
      </c>
      <c r="J11" s="15" t="s">
        <v>103</v>
      </c>
      <c r="K11" s="15" t="s">
        <v>104</v>
      </c>
      <c r="L11" s="15" t="s">
        <v>84</v>
      </c>
      <c r="M11" s="15" t="s">
        <v>94</v>
      </c>
      <c r="N11" s="15">
        <v>0</v>
      </c>
      <c r="O11" s="15">
        <v>0</v>
      </c>
      <c r="P11" s="15">
        <v>3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8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2</v>
      </c>
      <c r="AF11" s="15">
        <v>0</v>
      </c>
      <c r="AG11" s="15">
        <v>0</v>
      </c>
      <c r="AH11" s="15">
        <v>4</v>
      </c>
      <c r="AI11" s="15">
        <v>0</v>
      </c>
      <c r="AJ11" s="15">
        <v>0</v>
      </c>
      <c r="AK11" s="15">
        <v>0</v>
      </c>
      <c r="AL11" s="15">
        <v>0</v>
      </c>
      <c r="AM11" s="15">
        <v>9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2</v>
      </c>
      <c r="AT11" s="15">
        <v>5</v>
      </c>
      <c r="AU11" s="15">
        <v>2</v>
      </c>
      <c r="AV11" s="15">
        <v>1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</row>
    <row r="12" spans="1:72" x14ac:dyDescent="0.2">
      <c r="A12" s="15" t="s">
        <v>105</v>
      </c>
      <c r="B12" t="s">
        <v>135</v>
      </c>
      <c r="C12" s="15" t="s">
        <v>96</v>
      </c>
      <c r="D12" s="15">
        <v>4</v>
      </c>
      <c r="E12" s="15">
        <v>3</v>
      </c>
      <c r="F12" s="15">
        <v>12</v>
      </c>
      <c r="G12" s="15">
        <v>36</v>
      </c>
      <c r="H12" s="15">
        <v>6</v>
      </c>
      <c r="I12" s="15">
        <v>0</v>
      </c>
      <c r="J12" s="15" t="s">
        <v>97</v>
      </c>
      <c r="K12" s="15" t="s">
        <v>85</v>
      </c>
      <c r="L12" s="15" t="s">
        <v>84</v>
      </c>
      <c r="M12" s="15" t="s">
        <v>94</v>
      </c>
      <c r="N12" s="15">
        <v>0</v>
      </c>
      <c r="O12" s="15">
        <v>0</v>
      </c>
      <c r="P12" s="15">
        <v>13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2</v>
      </c>
      <c r="X12" s="15">
        <v>0</v>
      </c>
      <c r="Y12" s="15">
        <v>0</v>
      </c>
      <c r="Z12" s="15">
        <v>1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5</v>
      </c>
      <c r="AI12" s="15">
        <v>0</v>
      </c>
      <c r="AJ12" s="15">
        <v>0</v>
      </c>
      <c r="AK12" s="15">
        <v>0</v>
      </c>
      <c r="AL12" s="15">
        <v>0</v>
      </c>
      <c r="AM12" s="15">
        <v>7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8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</row>
    <row r="13" spans="1:72" x14ac:dyDescent="0.2">
      <c r="A13" s="15" t="s">
        <v>106</v>
      </c>
      <c r="B13" t="s">
        <v>135</v>
      </c>
      <c r="C13" s="15" t="s">
        <v>96</v>
      </c>
      <c r="D13" s="15">
        <v>4</v>
      </c>
      <c r="E13" s="15">
        <v>3</v>
      </c>
      <c r="F13" s="15">
        <v>12</v>
      </c>
      <c r="G13" s="15">
        <v>17</v>
      </c>
      <c r="H13" s="15">
        <v>9</v>
      </c>
      <c r="I13" s="15">
        <v>358</v>
      </c>
      <c r="J13" s="15" t="s">
        <v>97</v>
      </c>
      <c r="K13" s="15" t="s">
        <v>85</v>
      </c>
      <c r="L13" s="15" t="s">
        <v>85</v>
      </c>
      <c r="M13" s="15" t="s">
        <v>94</v>
      </c>
      <c r="N13" s="15">
        <v>0</v>
      </c>
      <c r="O13" s="15">
        <v>0</v>
      </c>
      <c r="P13" s="15">
        <v>3</v>
      </c>
      <c r="Q13" s="15">
        <v>0</v>
      </c>
      <c r="R13" s="15">
        <v>0</v>
      </c>
      <c r="S13" s="15">
        <v>0</v>
      </c>
      <c r="T13" s="15">
        <v>1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5</v>
      </c>
      <c r="AI13" s="15">
        <v>0</v>
      </c>
      <c r="AJ13" s="15">
        <v>0</v>
      </c>
      <c r="AK13" s="15">
        <v>0</v>
      </c>
      <c r="AL13" s="15">
        <v>0</v>
      </c>
      <c r="AM13" s="15">
        <v>1</v>
      </c>
      <c r="AN13" s="15">
        <v>1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3</v>
      </c>
      <c r="AV13" s="15">
        <v>1</v>
      </c>
      <c r="AW13" s="15">
        <v>0</v>
      </c>
      <c r="AX13" s="15">
        <v>0</v>
      </c>
      <c r="AY13" s="15">
        <v>0</v>
      </c>
      <c r="AZ13" s="15">
        <v>1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</row>
    <row r="14" spans="1:72" x14ac:dyDescent="0.2">
      <c r="A14" s="15" t="s">
        <v>107</v>
      </c>
      <c r="B14" t="s">
        <v>135</v>
      </c>
      <c r="C14" s="15" t="s">
        <v>96</v>
      </c>
      <c r="D14" s="15">
        <v>4</v>
      </c>
      <c r="E14" s="15">
        <v>3</v>
      </c>
      <c r="F14" s="15">
        <v>12</v>
      </c>
      <c r="G14" s="15">
        <v>20</v>
      </c>
      <c r="H14" s="15">
        <v>6</v>
      </c>
      <c r="I14" s="15">
        <v>4</v>
      </c>
      <c r="J14" s="15" t="s">
        <v>97</v>
      </c>
      <c r="K14" s="15" t="s">
        <v>84</v>
      </c>
      <c r="L14" s="15" t="s">
        <v>84</v>
      </c>
      <c r="M14" s="15" t="s">
        <v>108</v>
      </c>
      <c r="N14" s="15">
        <v>0</v>
      </c>
      <c r="O14" s="15">
        <v>0</v>
      </c>
      <c r="P14" s="15">
        <v>7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2</v>
      </c>
      <c r="AF14" s="15">
        <v>0</v>
      </c>
      <c r="AG14" s="15">
        <v>0</v>
      </c>
      <c r="AH14" s="15">
        <v>3</v>
      </c>
      <c r="AI14" s="15">
        <v>0</v>
      </c>
      <c r="AJ14" s="15">
        <v>0</v>
      </c>
      <c r="AK14" s="15">
        <v>0</v>
      </c>
      <c r="AL14" s="15">
        <v>0</v>
      </c>
      <c r="AM14" s="15">
        <v>4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1</v>
      </c>
      <c r="AT14" s="15">
        <v>0</v>
      </c>
      <c r="AU14" s="15">
        <v>3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</row>
    <row r="15" spans="1:72" x14ac:dyDescent="0.2">
      <c r="A15" s="15" t="s">
        <v>109</v>
      </c>
      <c r="B15" t="s">
        <v>135</v>
      </c>
      <c r="C15" s="15" t="s">
        <v>110</v>
      </c>
      <c r="D15" s="15">
        <v>2</v>
      </c>
      <c r="E15" s="15">
        <v>2</v>
      </c>
      <c r="F15" s="15">
        <v>4</v>
      </c>
      <c r="G15" s="15">
        <v>34</v>
      </c>
      <c r="H15" s="15">
        <v>9</v>
      </c>
      <c r="I15" s="15">
        <v>268</v>
      </c>
      <c r="J15" s="15" t="s">
        <v>92</v>
      </c>
      <c r="K15" s="15" t="s">
        <v>104</v>
      </c>
      <c r="L15" s="15" t="s">
        <v>104</v>
      </c>
      <c r="M15" s="15" t="s">
        <v>99</v>
      </c>
      <c r="N15" s="15">
        <v>0</v>
      </c>
      <c r="O15" s="15">
        <v>0</v>
      </c>
      <c r="P15" s="15">
        <v>9</v>
      </c>
      <c r="Q15" s="15">
        <v>0</v>
      </c>
      <c r="R15" s="15">
        <v>0</v>
      </c>
      <c r="S15" s="15">
        <v>0</v>
      </c>
      <c r="T15" s="15">
        <v>1</v>
      </c>
      <c r="U15" s="15">
        <v>0</v>
      </c>
      <c r="V15" s="15">
        <v>0</v>
      </c>
      <c r="W15" s="15">
        <v>1</v>
      </c>
      <c r="X15" s="15">
        <v>0</v>
      </c>
      <c r="Y15" s="15">
        <v>0</v>
      </c>
      <c r="Z15" s="15">
        <v>4</v>
      </c>
      <c r="AA15" s="15">
        <v>0</v>
      </c>
      <c r="AB15" s="15">
        <v>0</v>
      </c>
      <c r="AC15" s="15">
        <v>0</v>
      </c>
      <c r="AD15" s="15">
        <v>0</v>
      </c>
      <c r="AE15" s="15">
        <v>1</v>
      </c>
      <c r="AF15" s="15">
        <v>0</v>
      </c>
      <c r="AG15" s="15">
        <v>0</v>
      </c>
      <c r="AH15" s="15">
        <v>1</v>
      </c>
      <c r="AI15" s="15">
        <v>0</v>
      </c>
      <c r="AJ15" s="15">
        <v>0</v>
      </c>
      <c r="AK15" s="15">
        <v>0</v>
      </c>
      <c r="AL15" s="15">
        <v>0</v>
      </c>
      <c r="AM15" s="15">
        <v>2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5</v>
      </c>
      <c r="AU15" s="15">
        <v>10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</row>
    <row r="16" spans="1:72" x14ac:dyDescent="0.2">
      <c r="A16" s="15" t="s">
        <v>111</v>
      </c>
      <c r="B16" t="s">
        <v>135</v>
      </c>
      <c r="C16" s="15" t="s">
        <v>110</v>
      </c>
      <c r="D16" s="15">
        <v>2</v>
      </c>
      <c r="E16" s="15">
        <v>2</v>
      </c>
      <c r="F16" s="15">
        <v>4</v>
      </c>
      <c r="G16" s="15">
        <v>44</v>
      </c>
      <c r="H16" s="15">
        <v>10</v>
      </c>
      <c r="I16" s="15">
        <v>84</v>
      </c>
      <c r="J16" s="15" t="s">
        <v>88</v>
      </c>
      <c r="K16" s="15" t="s">
        <v>104</v>
      </c>
      <c r="L16" s="15" t="s">
        <v>104</v>
      </c>
      <c r="M16" s="15" t="s">
        <v>99</v>
      </c>
      <c r="N16" s="15">
        <v>0</v>
      </c>
      <c r="O16" s="15">
        <v>0</v>
      </c>
      <c r="P16" s="15">
        <v>11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3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1</v>
      </c>
      <c r="AD16" s="15">
        <v>0</v>
      </c>
      <c r="AE16" s="15">
        <v>4</v>
      </c>
      <c r="AF16" s="15">
        <v>0</v>
      </c>
      <c r="AG16" s="15">
        <v>0</v>
      </c>
      <c r="AH16" s="15">
        <v>0</v>
      </c>
      <c r="AI16" s="15">
        <v>3</v>
      </c>
      <c r="AJ16" s="15">
        <v>0</v>
      </c>
      <c r="AK16" s="15">
        <v>0</v>
      </c>
      <c r="AL16" s="15">
        <v>0</v>
      </c>
      <c r="AM16" s="15">
        <v>0</v>
      </c>
      <c r="AN16" s="15">
        <v>3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7</v>
      </c>
      <c r="AU16" s="15">
        <v>7</v>
      </c>
      <c r="AV16" s="15">
        <v>0</v>
      </c>
      <c r="AW16" s="15">
        <v>0</v>
      </c>
      <c r="AX16" s="15">
        <v>0</v>
      </c>
      <c r="AY16" s="15">
        <v>3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2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</row>
    <row r="17" spans="1:72" x14ac:dyDescent="0.2">
      <c r="A17" s="15" t="s">
        <v>112</v>
      </c>
      <c r="B17" t="s">
        <v>135</v>
      </c>
      <c r="C17" s="15" t="s">
        <v>96</v>
      </c>
      <c r="D17" s="15">
        <v>4</v>
      </c>
      <c r="E17" s="15">
        <v>3</v>
      </c>
      <c r="F17" s="15">
        <v>12</v>
      </c>
      <c r="G17" s="15">
        <v>18</v>
      </c>
      <c r="H17" s="15">
        <v>6</v>
      </c>
      <c r="I17" s="15">
        <v>179</v>
      </c>
      <c r="J17" s="15" t="s">
        <v>83</v>
      </c>
      <c r="K17" s="15" t="s">
        <v>84</v>
      </c>
      <c r="L17" s="15" t="s">
        <v>85</v>
      </c>
      <c r="M17" s="15" t="s">
        <v>113</v>
      </c>
      <c r="N17" s="15">
        <v>0</v>
      </c>
      <c r="O17" s="15">
        <v>0</v>
      </c>
      <c r="P17" s="15">
        <v>6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1</v>
      </c>
      <c r="AI17" s="15">
        <v>0</v>
      </c>
      <c r="AJ17" s="15">
        <v>0</v>
      </c>
      <c r="AK17" s="15">
        <v>0</v>
      </c>
      <c r="AL17" s="15">
        <v>0</v>
      </c>
      <c r="AM17" s="15">
        <v>7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2</v>
      </c>
      <c r="AT17" s="15">
        <v>1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1</v>
      </c>
      <c r="BT17" s="15">
        <v>0</v>
      </c>
    </row>
    <row r="18" spans="1:72" x14ac:dyDescent="0.2">
      <c r="A18" s="15" t="s">
        <v>114</v>
      </c>
      <c r="B18" t="s">
        <v>135</v>
      </c>
      <c r="C18" s="15" t="s">
        <v>73</v>
      </c>
      <c r="D18" s="15">
        <v>6</v>
      </c>
      <c r="E18" s="15">
        <v>3</v>
      </c>
      <c r="F18" s="15">
        <v>18</v>
      </c>
      <c r="G18" s="15">
        <v>34</v>
      </c>
      <c r="H18" s="15">
        <v>11</v>
      </c>
      <c r="I18" s="15">
        <v>182</v>
      </c>
      <c r="J18" s="15" t="s">
        <v>83</v>
      </c>
      <c r="K18" s="15" t="s">
        <v>85</v>
      </c>
      <c r="L18" s="15" t="s">
        <v>85</v>
      </c>
      <c r="M18" s="15" t="s">
        <v>115</v>
      </c>
      <c r="N18" s="15">
        <v>0</v>
      </c>
      <c r="O18" s="15">
        <v>0</v>
      </c>
      <c r="P18" s="15">
        <v>10</v>
      </c>
      <c r="Q18" s="15">
        <v>0</v>
      </c>
      <c r="R18" s="15">
        <v>0</v>
      </c>
      <c r="S18" s="15">
        <v>0</v>
      </c>
      <c r="T18" s="15">
        <v>1</v>
      </c>
      <c r="U18" s="15">
        <v>0</v>
      </c>
      <c r="V18" s="15">
        <v>0</v>
      </c>
      <c r="W18" s="15">
        <v>5</v>
      </c>
      <c r="X18" s="15">
        <v>0</v>
      </c>
      <c r="Y18" s="15">
        <v>0</v>
      </c>
      <c r="Z18" s="15">
        <v>1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8</v>
      </c>
      <c r="AI18" s="15">
        <v>1</v>
      </c>
      <c r="AJ18" s="15">
        <v>0</v>
      </c>
      <c r="AK18" s="15">
        <v>0</v>
      </c>
      <c r="AL18" s="15">
        <v>0</v>
      </c>
      <c r="AM18" s="15">
        <v>0</v>
      </c>
      <c r="AN18" s="15">
        <v>1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4</v>
      </c>
      <c r="AU18" s="15">
        <v>1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1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1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</row>
    <row r="19" spans="1:72" x14ac:dyDescent="0.2">
      <c r="A19" s="15" t="s">
        <v>116</v>
      </c>
      <c r="B19" t="s">
        <v>135</v>
      </c>
      <c r="C19" s="15" t="s">
        <v>96</v>
      </c>
      <c r="D19" s="15">
        <v>4</v>
      </c>
      <c r="E19" s="15">
        <v>2</v>
      </c>
      <c r="F19" s="15">
        <v>8</v>
      </c>
      <c r="G19" s="15">
        <v>30</v>
      </c>
      <c r="H19" s="15">
        <v>10</v>
      </c>
      <c r="I19" s="15">
        <v>165</v>
      </c>
      <c r="J19" s="15" t="s">
        <v>83</v>
      </c>
      <c r="K19" s="15" t="s">
        <v>76</v>
      </c>
      <c r="L19" s="15" t="s">
        <v>84</v>
      </c>
      <c r="M19" s="15" t="s">
        <v>86</v>
      </c>
      <c r="N19" s="15">
        <v>0</v>
      </c>
      <c r="O19" s="15">
        <v>0</v>
      </c>
      <c r="P19" s="15">
        <v>9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1</v>
      </c>
      <c r="W19" s="15">
        <v>1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2</v>
      </c>
      <c r="AD19" s="15">
        <v>0</v>
      </c>
      <c r="AE19" s="15">
        <v>0</v>
      </c>
      <c r="AF19" s="15">
        <v>1</v>
      </c>
      <c r="AG19" s="15">
        <v>0</v>
      </c>
      <c r="AH19" s="15">
        <v>8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2</v>
      </c>
      <c r="AT19" s="15">
        <v>4</v>
      </c>
      <c r="AU19" s="15">
        <v>0</v>
      </c>
      <c r="AV19" s="15">
        <v>0</v>
      </c>
      <c r="AW19" s="15">
        <v>0</v>
      </c>
      <c r="AX19" s="15">
        <v>1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1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</row>
    <row r="20" spans="1:72" x14ac:dyDescent="0.2">
      <c r="A20" s="15" t="s">
        <v>117</v>
      </c>
      <c r="B20" t="s">
        <v>135</v>
      </c>
      <c r="C20" s="15" t="s">
        <v>79</v>
      </c>
      <c r="D20" s="15">
        <v>8</v>
      </c>
      <c r="E20" s="15">
        <v>3</v>
      </c>
      <c r="F20" s="15">
        <v>24</v>
      </c>
      <c r="G20" s="15">
        <v>40</v>
      </c>
      <c r="H20" s="15">
        <v>13</v>
      </c>
      <c r="I20" s="15">
        <v>314</v>
      </c>
      <c r="J20" s="15" t="s">
        <v>103</v>
      </c>
      <c r="K20" s="15" t="s">
        <v>118</v>
      </c>
      <c r="L20" s="15" t="s">
        <v>75</v>
      </c>
      <c r="M20" s="15" t="s">
        <v>86</v>
      </c>
      <c r="N20" s="15">
        <v>0</v>
      </c>
      <c r="O20" s="15">
        <v>0</v>
      </c>
      <c r="P20" s="15">
        <v>14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2</v>
      </c>
      <c r="W20" s="15">
        <v>1</v>
      </c>
      <c r="X20" s="15">
        <v>1</v>
      </c>
      <c r="Y20" s="15">
        <v>1</v>
      </c>
      <c r="Z20" s="15">
        <v>0</v>
      </c>
      <c r="AA20" s="15">
        <v>0</v>
      </c>
      <c r="AB20" s="15">
        <v>0</v>
      </c>
      <c r="AC20" s="15">
        <v>1</v>
      </c>
      <c r="AD20" s="15">
        <v>0</v>
      </c>
      <c r="AE20" s="15">
        <v>0</v>
      </c>
      <c r="AF20" s="15">
        <v>0</v>
      </c>
      <c r="AG20" s="15">
        <v>0</v>
      </c>
      <c r="AH20" s="15">
        <v>3</v>
      </c>
      <c r="AI20" s="15">
        <v>0</v>
      </c>
      <c r="AJ20" s="15">
        <v>1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2</v>
      </c>
      <c r="AS20" s="15">
        <v>0</v>
      </c>
      <c r="AT20" s="15">
        <v>1</v>
      </c>
      <c r="AU20" s="15">
        <v>11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1</v>
      </c>
      <c r="BF20" s="15">
        <v>0</v>
      </c>
      <c r="BG20" s="15">
        <v>0</v>
      </c>
      <c r="BH20" s="15">
        <v>1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</row>
    <row r="21" spans="1:72" x14ac:dyDescent="0.2">
      <c r="A21" s="15" t="s">
        <v>119</v>
      </c>
      <c r="B21" t="s">
        <v>135</v>
      </c>
      <c r="C21" s="15" t="s">
        <v>79</v>
      </c>
      <c r="D21" s="15">
        <v>8</v>
      </c>
      <c r="E21" s="15">
        <v>3</v>
      </c>
      <c r="F21" s="15">
        <v>24</v>
      </c>
      <c r="G21" s="15">
        <v>30</v>
      </c>
      <c r="H21" s="15">
        <v>9</v>
      </c>
      <c r="I21" s="15">
        <v>211</v>
      </c>
      <c r="J21" s="15" t="s">
        <v>74</v>
      </c>
      <c r="K21" s="15" t="s">
        <v>118</v>
      </c>
      <c r="L21" s="15" t="s">
        <v>89</v>
      </c>
      <c r="M21" s="15" t="s">
        <v>115</v>
      </c>
      <c r="N21" s="15">
        <v>0</v>
      </c>
      <c r="O21" s="15">
        <v>0</v>
      </c>
      <c r="P21" s="15">
        <v>9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3</v>
      </c>
      <c r="W21" s="15">
        <v>3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2</v>
      </c>
      <c r="AF21" s="15">
        <v>0</v>
      </c>
      <c r="AG21" s="15">
        <v>0</v>
      </c>
      <c r="AH21" s="15">
        <v>1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7</v>
      </c>
      <c r="AS21" s="15">
        <v>1</v>
      </c>
      <c r="AT21" s="15">
        <v>0</v>
      </c>
      <c r="AU21" s="15">
        <v>3</v>
      </c>
      <c r="AV21" s="15">
        <v>1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</row>
    <row r="22" spans="1:72" x14ac:dyDescent="0.2">
      <c r="A22" s="15" t="s">
        <v>120</v>
      </c>
      <c r="B22" t="s">
        <v>135</v>
      </c>
      <c r="C22" s="15" t="s">
        <v>79</v>
      </c>
      <c r="D22" s="15">
        <v>8</v>
      </c>
      <c r="E22" s="15">
        <v>2</v>
      </c>
      <c r="F22" s="15">
        <v>16</v>
      </c>
      <c r="G22" s="15">
        <v>31</v>
      </c>
      <c r="H22" s="15">
        <v>16</v>
      </c>
      <c r="I22" s="15">
        <v>174</v>
      </c>
      <c r="J22" s="15" t="s">
        <v>83</v>
      </c>
      <c r="K22" s="15" t="s">
        <v>89</v>
      </c>
      <c r="L22" s="15" t="s">
        <v>85</v>
      </c>
      <c r="M22" s="15" t="s">
        <v>121</v>
      </c>
      <c r="N22" s="15">
        <v>0</v>
      </c>
      <c r="O22" s="15">
        <v>0</v>
      </c>
      <c r="P22" s="15">
        <v>8</v>
      </c>
      <c r="Q22" s="15">
        <v>1</v>
      </c>
      <c r="R22" s="15">
        <v>0</v>
      </c>
      <c r="S22" s="15">
        <v>0</v>
      </c>
      <c r="T22" s="15">
        <v>1</v>
      </c>
      <c r="U22" s="15">
        <v>0</v>
      </c>
      <c r="V22" s="15">
        <v>0</v>
      </c>
      <c r="W22" s="15">
        <v>3</v>
      </c>
      <c r="X22" s="15">
        <v>1</v>
      </c>
      <c r="Y22" s="15">
        <v>2</v>
      </c>
      <c r="Z22" s="15">
        <v>0</v>
      </c>
      <c r="AA22" s="15">
        <v>0</v>
      </c>
      <c r="AB22" s="15">
        <v>0</v>
      </c>
      <c r="AC22" s="15">
        <v>1</v>
      </c>
      <c r="AD22" s="15">
        <v>1</v>
      </c>
      <c r="AE22" s="15">
        <v>0</v>
      </c>
      <c r="AF22" s="15">
        <v>0</v>
      </c>
      <c r="AG22" s="15">
        <v>0</v>
      </c>
      <c r="AH22" s="15">
        <v>3</v>
      </c>
      <c r="AI22" s="15">
        <v>0</v>
      </c>
      <c r="AJ22" s="15">
        <v>0</v>
      </c>
      <c r="AK22" s="15">
        <v>0</v>
      </c>
      <c r="AL22" s="15">
        <v>1</v>
      </c>
      <c r="AM22" s="15">
        <v>0</v>
      </c>
      <c r="AN22" s="15">
        <v>1</v>
      </c>
      <c r="AO22" s="15">
        <v>0</v>
      </c>
      <c r="AP22" s="15">
        <v>0</v>
      </c>
      <c r="AQ22" s="15">
        <v>0</v>
      </c>
      <c r="AR22" s="15">
        <v>1</v>
      </c>
      <c r="AS22" s="15">
        <v>0</v>
      </c>
      <c r="AT22" s="15">
        <v>2</v>
      </c>
      <c r="AU22" s="15">
        <v>3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1</v>
      </c>
      <c r="BC22" s="15">
        <v>0</v>
      </c>
      <c r="BD22" s="15">
        <v>0</v>
      </c>
      <c r="BE22" s="15">
        <v>1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</row>
    <row r="23" spans="1:72" x14ac:dyDescent="0.2">
      <c r="A23" s="15" t="s">
        <v>122</v>
      </c>
      <c r="B23" t="s">
        <v>135</v>
      </c>
      <c r="C23" s="15" t="s">
        <v>73</v>
      </c>
      <c r="D23" s="15">
        <v>6</v>
      </c>
      <c r="E23" s="15">
        <v>3</v>
      </c>
      <c r="F23" s="15">
        <v>18</v>
      </c>
      <c r="G23" s="15">
        <v>49</v>
      </c>
      <c r="H23" s="15">
        <v>13</v>
      </c>
      <c r="I23" s="15">
        <v>350</v>
      </c>
      <c r="J23" s="15" t="s">
        <v>97</v>
      </c>
      <c r="K23" s="15" t="s">
        <v>89</v>
      </c>
      <c r="L23" s="15" t="s">
        <v>85</v>
      </c>
      <c r="M23" s="15" t="s">
        <v>121</v>
      </c>
      <c r="N23" s="15">
        <v>0</v>
      </c>
      <c r="O23" s="15">
        <v>0</v>
      </c>
      <c r="P23" s="15">
        <v>14</v>
      </c>
      <c r="Q23" s="15">
        <v>0</v>
      </c>
      <c r="R23" s="15">
        <v>0</v>
      </c>
      <c r="S23" s="15">
        <v>0</v>
      </c>
      <c r="T23" s="15">
        <v>1</v>
      </c>
      <c r="U23" s="15">
        <v>0</v>
      </c>
      <c r="V23" s="15">
        <v>1</v>
      </c>
      <c r="W23" s="15">
        <v>3</v>
      </c>
      <c r="X23" s="15">
        <v>0</v>
      </c>
      <c r="Y23" s="15">
        <v>2</v>
      </c>
      <c r="Z23" s="15">
        <v>2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9</v>
      </c>
      <c r="AI23" s="15">
        <v>0</v>
      </c>
      <c r="AJ23" s="15">
        <v>0</v>
      </c>
      <c r="AK23" s="15">
        <v>0</v>
      </c>
      <c r="AL23" s="15">
        <v>1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1</v>
      </c>
      <c r="AU23" s="15">
        <v>12</v>
      </c>
      <c r="AV23" s="15">
        <v>0</v>
      </c>
      <c r="AW23" s="15">
        <v>0</v>
      </c>
      <c r="AX23" s="15">
        <v>1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1</v>
      </c>
      <c r="BL23" s="15">
        <v>0</v>
      </c>
      <c r="BM23" s="15">
        <v>0</v>
      </c>
      <c r="BN23" s="15">
        <v>1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</row>
    <row r="24" spans="1:72" x14ac:dyDescent="0.2">
      <c r="A24" s="15" t="s">
        <v>123</v>
      </c>
      <c r="B24" t="s">
        <v>135</v>
      </c>
      <c r="C24" s="15" t="s">
        <v>73</v>
      </c>
      <c r="D24" s="15">
        <v>6</v>
      </c>
      <c r="E24" s="15">
        <v>3</v>
      </c>
      <c r="F24" s="15">
        <v>18</v>
      </c>
      <c r="G24" s="15">
        <v>62</v>
      </c>
      <c r="H24" s="15">
        <v>15</v>
      </c>
      <c r="I24" s="15">
        <v>161</v>
      </c>
      <c r="J24" s="15" t="s">
        <v>124</v>
      </c>
      <c r="K24" s="15" t="s">
        <v>76</v>
      </c>
      <c r="L24" s="15" t="s">
        <v>85</v>
      </c>
      <c r="M24" s="15" t="s">
        <v>121</v>
      </c>
      <c r="N24" s="15">
        <v>0</v>
      </c>
      <c r="O24" s="15">
        <v>0</v>
      </c>
      <c r="P24" s="15">
        <v>14</v>
      </c>
      <c r="Q24" s="15">
        <v>0</v>
      </c>
      <c r="R24" s="15">
        <v>3</v>
      </c>
      <c r="S24" s="15">
        <v>0</v>
      </c>
      <c r="T24" s="15">
        <v>4</v>
      </c>
      <c r="U24" s="15">
        <v>0</v>
      </c>
      <c r="V24" s="15">
        <v>0</v>
      </c>
      <c r="W24" s="15">
        <v>5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2</v>
      </c>
      <c r="AD24" s="15">
        <v>7</v>
      </c>
      <c r="AE24" s="15">
        <v>1</v>
      </c>
      <c r="AF24" s="15">
        <v>0</v>
      </c>
      <c r="AG24" s="15">
        <v>0</v>
      </c>
      <c r="AH24" s="15">
        <v>5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1</v>
      </c>
      <c r="AS24" s="15">
        <v>0</v>
      </c>
      <c r="AT24" s="15">
        <v>2</v>
      </c>
      <c r="AU24" s="15">
        <v>14</v>
      </c>
      <c r="AV24" s="15">
        <v>1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1</v>
      </c>
      <c r="BC24" s="15">
        <v>1</v>
      </c>
      <c r="BD24" s="15">
        <v>0</v>
      </c>
      <c r="BE24" s="15">
        <v>1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</row>
    <row r="25" spans="1:72" x14ac:dyDescent="0.2">
      <c r="A25" s="15" t="s">
        <v>125</v>
      </c>
      <c r="B25" t="s">
        <v>135</v>
      </c>
      <c r="C25" s="15" t="s">
        <v>79</v>
      </c>
      <c r="D25" s="15">
        <v>8</v>
      </c>
      <c r="E25" s="15">
        <v>3</v>
      </c>
      <c r="F25" s="15">
        <v>24</v>
      </c>
      <c r="G25" s="15">
        <v>46</v>
      </c>
      <c r="H25" s="15">
        <v>16</v>
      </c>
      <c r="I25" s="15">
        <v>287</v>
      </c>
      <c r="J25" s="15" t="s">
        <v>92</v>
      </c>
      <c r="K25" s="15" t="s">
        <v>81</v>
      </c>
      <c r="L25" s="15" t="s">
        <v>89</v>
      </c>
      <c r="M25" s="15" t="s">
        <v>121</v>
      </c>
      <c r="N25" s="15">
        <v>0</v>
      </c>
      <c r="O25" s="15">
        <v>0</v>
      </c>
      <c r="P25" s="15">
        <v>13</v>
      </c>
      <c r="Q25" s="15">
        <v>0</v>
      </c>
      <c r="R25" s="15">
        <v>0</v>
      </c>
      <c r="S25" s="15">
        <v>0</v>
      </c>
      <c r="T25" s="15">
        <v>1</v>
      </c>
      <c r="U25" s="15">
        <v>0</v>
      </c>
      <c r="V25" s="15">
        <v>4</v>
      </c>
      <c r="W25" s="15">
        <v>5</v>
      </c>
      <c r="X25" s="15">
        <v>0</v>
      </c>
      <c r="Y25" s="15">
        <v>0</v>
      </c>
      <c r="Z25" s="15">
        <v>0</v>
      </c>
      <c r="AA25" s="15">
        <v>0</v>
      </c>
      <c r="AB25" s="15">
        <v>1</v>
      </c>
      <c r="AC25" s="15">
        <v>2</v>
      </c>
      <c r="AD25" s="15">
        <v>0</v>
      </c>
      <c r="AE25" s="15">
        <v>1</v>
      </c>
      <c r="AF25" s="15">
        <v>0</v>
      </c>
      <c r="AG25" s="15">
        <v>0</v>
      </c>
      <c r="AH25" s="15">
        <v>7</v>
      </c>
      <c r="AI25" s="15">
        <v>0</v>
      </c>
      <c r="AJ25" s="15">
        <v>1</v>
      </c>
      <c r="AK25" s="15">
        <v>0</v>
      </c>
      <c r="AL25" s="15">
        <v>0</v>
      </c>
      <c r="AM25" s="15">
        <v>0</v>
      </c>
      <c r="AN25" s="15">
        <v>1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1</v>
      </c>
      <c r="AU25" s="15">
        <v>2</v>
      </c>
      <c r="AV25" s="15">
        <v>0</v>
      </c>
      <c r="AW25" s="15">
        <v>0</v>
      </c>
      <c r="AX25" s="15">
        <v>1</v>
      </c>
      <c r="AY25" s="15">
        <v>0</v>
      </c>
      <c r="AZ25" s="15">
        <v>1</v>
      </c>
      <c r="BA25" s="15">
        <v>0</v>
      </c>
      <c r="BB25" s="15">
        <v>0</v>
      </c>
      <c r="BC25" s="15">
        <v>0</v>
      </c>
      <c r="BD25" s="15">
        <v>0</v>
      </c>
      <c r="BE25" s="15">
        <v>4</v>
      </c>
      <c r="BF25" s="15">
        <v>0</v>
      </c>
      <c r="BG25" s="15">
        <v>0</v>
      </c>
      <c r="BH25" s="15">
        <v>0</v>
      </c>
      <c r="BI25" s="15">
        <v>0</v>
      </c>
      <c r="BJ25" s="15">
        <v>1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</row>
    <row r="26" spans="1:72" x14ac:dyDescent="0.2">
      <c r="A26" s="15" t="s">
        <v>126</v>
      </c>
      <c r="B26" t="s">
        <v>135</v>
      </c>
      <c r="C26" s="15" t="s">
        <v>79</v>
      </c>
      <c r="D26" s="15">
        <v>8</v>
      </c>
      <c r="E26" s="15">
        <v>3</v>
      </c>
      <c r="F26" s="15">
        <v>24</v>
      </c>
      <c r="G26" s="15">
        <v>36</v>
      </c>
      <c r="H26" s="15">
        <v>10</v>
      </c>
      <c r="I26" s="15">
        <v>117</v>
      </c>
      <c r="J26" s="15" t="s">
        <v>80</v>
      </c>
      <c r="K26" s="15" t="s">
        <v>81</v>
      </c>
      <c r="L26" s="15" t="s">
        <v>89</v>
      </c>
      <c r="M26" s="15" t="s">
        <v>113</v>
      </c>
      <c r="N26" s="15">
        <v>0</v>
      </c>
      <c r="O26" s="15">
        <v>0</v>
      </c>
      <c r="P26" s="15">
        <v>11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2</v>
      </c>
      <c r="W26" s="15">
        <v>1</v>
      </c>
      <c r="X26" s="15">
        <v>0</v>
      </c>
      <c r="Y26" s="15">
        <v>0</v>
      </c>
      <c r="Z26" s="15">
        <v>4</v>
      </c>
      <c r="AA26" s="15">
        <v>0</v>
      </c>
      <c r="AB26" s="15">
        <v>0</v>
      </c>
      <c r="AC26" s="15">
        <v>0</v>
      </c>
      <c r="AD26" s="15">
        <v>0</v>
      </c>
      <c r="AE26" s="15">
        <v>6</v>
      </c>
      <c r="AF26" s="15">
        <v>0</v>
      </c>
      <c r="AG26" s="15">
        <v>0</v>
      </c>
      <c r="AH26" s="15">
        <v>4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1</v>
      </c>
      <c r="AS26" s="15">
        <v>0</v>
      </c>
      <c r="AT26" s="15">
        <v>4</v>
      </c>
      <c r="AU26" s="15">
        <v>2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1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</row>
    <row r="27" spans="1:72" x14ac:dyDescent="0.2">
      <c r="A27" s="15" t="s">
        <v>127</v>
      </c>
      <c r="B27" t="s">
        <v>135</v>
      </c>
      <c r="C27" s="15" t="s">
        <v>79</v>
      </c>
      <c r="D27" s="15">
        <v>8</v>
      </c>
      <c r="E27" s="15">
        <v>3</v>
      </c>
      <c r="F27" s="15">
        <v>24</v>
      </c>
      <c r="G27" s="15">
        <v>59</v>
      </c>
      <c r="H27" s="15">
        <v>14</v>
      </c>
      <c r="I27" s="15">
        <v>102</v>
      </c>
      <c r="J27" s="15" t="s">
        <v>88</v>
      </c>
      <c r="K27" s="15" t="s">
        <v>89</v>
      </c>
      <c r="L27" s="15" t="s">
        <v>75</v>
      </c>
      <c r="M27" s="15" t="s">
        <v>113</v>
      </c>
      <c r="N27" s="15">
        <v>0</v>
      </c>
      <c r="O27" s="15">
        <v>0</v>
      </c>
      <c r="P27" s="15">
        <v>15</v>
      </c>
      <c r="Q27" s="15">
        <v>0</v>
      </c>
      <c r="R27" s="15">
        <v>0</v>
      </c>
      <c r="S27" s="15">
        <v>0</v>
      </c>
      <c r="T27" s="15">
        <v>2</v>
      </c>
      <c r="U27" s="15">
        <v>0</v>
      </c>
      <c r="V27" s="15">
        <v>5</v>
      </c>
      <c r="W27" s="15">
        <v>8</v>
      </c>
      <c r="X27" s="15">
        <v>0</v>
      </c>
      <c r="Y27" s="15">
        <v>0</v>
      </c>
      <c r="Z27" s="15">
        <v>4</v>
      </c>
      <c r="AA27" s="15">
        <v>0</v>
      </c>
      <c r="AB27" s="15">
        <v>0</v>
      </c>
      <c r="AC27" s="15">
        <v>1</v>
      </c>
      <c r="AD27" s="15">
        <v>0</v>
      </c>
      <c r="AE27" s="15">
        <v>2</v>
      </c>
      <c r="AF27" s="15">
        <v>1</v>
      </c>
      <c r="AG27" s="15">
        <v>0</v>
      </c>
      <c r="AH27" s="15">
        <v>8</v>
      </c>
      <c r="AI27" s="15">
        <v>2</v>
      </c>
      <c r="AJ27" s="15">
        <v>0</v>
      </c>
      <c r="AK27" s="15">
        <v>2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7</v>
      </c>
      <c r="AU27" s="15">
        <v>1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1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</row>
    <row r="28" spans="1:72" x14ac:dyDescent="0.2">
      <c r="A28" s="15" t="s">
        <v>128</v>
      </c>
      <c r="B28" t="s">
        <v>135</v>
      </c>
      <c r="C28" s="15" t="s">
        <v>79</v>
      </c>
      <c r="D28" s="15">
        <v>8</v>
      </c>
      <c r="E28" s="15">
        <v>3</v>
      </c>
      <c r="F28" s="15">
        <v>24</v>
      </c>
      <c r="G28" s="15">
        <v>76</v>
      </c>
      <c r="H28" s="15">
        <v>16</v>
      </c>
      <c r="I28" s="15">
        <v>98</v>
      </c>
      <c r="J28" s="15" t="s">
        <v>88</v>
      </c>
      <c r="K28" s="15" t="s">
        <v>75</v>
      </c>
      <c r="L28" s="15" t="s">
        <v>75</v>
      </c>
      <c r="M28" s="15" t="s">
        <v>113</v>
      </c>
      <c r="N28" s="15">
        <v>0</v>
      </c>
      <c r="O28" s="15">
        <v>1</v>
      </c>
      <c r="P28" s="15">
        <v>24</v>
      </c>
      <c r="Q28" s="15">
        <v>0</v>
      </c>
      <c r="R28" s="15">
        <v>0</v>
      </c>
      <c r="S28" s="15">
        <v>0</v>
      </c>
      <c r="T28" s="15">
        <v>1</v>
      </c>
      <c r="U28" s="15">
        <v>0</v>
      </c>
      <c r="V28" s="15">
        <v>1</v>
      </c>
      <c r="W28" s="15">
        <v>10</v>
      </c>
      <c r="X28" s="15">
        <v>0</v>
      </c>
      <c r="Y28" s="15">
        <v>0</v>
      </c>
      <c r="Z28" s="15">
        <v>8</v>
      </c>
      <c r="AA28" s="15">
        <v>0</v>
      </c>
      <c r="AB28" s="15">
        <v>2</v>
      </c>
      <c r="AC28" s="15">
        <v>0</v>
      </c>
      <c r="AD28" s="15">
        <v>1</v>
      </c>
      <c r="AE28" s="15">
        <v>2</v>
      </c>
      <c r="AF28" s="15">
        <v>0</v>
      </c>
      <c r="AG28" s="15">
        <v>0</v>
      </c>
      <c r="AH28" s="15">
        <v>17</v>
      </c>
      <c r="AI28" s="15">
        <v>1</v>
      </c>
      <c r="AJ28" s="15">
        <v>0</v>
      </c>
      <c r="AK28" s="15">
        <v>0</v>
      </c>
      <c r="AL28" s="15">
        <v>2</v>
      </c>
      <c r="AM28" s="15">
        <v>0</v>
      </c>
      <c r="AN28" s="15">
        <v>0</v>
      </c>
      <c r="AO28" s="15">
        <v>1</v>
      </c>
      <c r="AP28" s="15">
        <v>0</v>
      </c>
      <c r="AQ28" s="15">
        <v>0</v>
      </c>
      <c r="AR28" s="15">
        <v>0</v>
      </c>
      <c r="AS28" s="15">
        <v>0</v>
      </c>
      <c r="AT28" s="15">
        <v>3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1</v>
      </c>
      <c r="BK28" s="15">
        <v>0</v>
      </c>
      <c r="BL28" s="15">
        <v>0</v>
      </c>
      <c r="BM28" s="15">
        <v>0</v>
      </c>
      <c r="BN28" s="15">
        <v>0</v>
      </c>
      <c r="BO28" s="15">
        <v>1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</row>
    <row r="29" spans="1:72" x14ac:dyDescent="0.2">
      <c r="A29" s="15" t="s">
        <v>129</v>
      </c>
      <c r="B29" t="s">
        <v>135</v>
      </c>
      <c r="C29" s="15" t="s">
        <v>79</v>
      </c>
      <c r="D29" s="15">
        <v>8</v>
      </c>
      <c r="E29" s="15">
        <v>2</v>
      </c>
      <c r="F29" s="15">
        <v>16</v>
      </c>
      <c r="G29" s="15">
        <v>50</v>
      </c>
      <c r="H29" s="15">
        <v>15</v>
      </c>
      <c r="I29" s="15">
        <v>285</v>
      </c>
      <c r="J29" s="15" t="s">
        <v>92</v>
      </c>
      <c r="K29" s="15" t="s">
        <v>75</v>
      </c>
      <c r="L29" s="15" t="s">
        <v>89</v>
      </c>
      <c r="M29" s="15" t="s">
        <v>113</v>
      </c>
      <c r="N29" s="15">
        <v>0</v>
      </c>
      <c r="O29" s="15">
        <v>0</v>
      </c>
      <c r="P29" s="15">
        <v>13</v>
      </c>
      <c r="Q29" s="15">
        <v>0</v>
      </c>
      <c r="R29" s="15">
        <v>0</v>
      </c>
      <c r="S29" s="15">
        <v>0</v>
      </c>
      <c r="T29" s="15">
        <v>1</v>
      </c>
      <c r="U29" s="15">
        <v>0</v>
      </c>
      <c r="V29" s="15">
        <v>8</v>
      </c>
      <c r="W29" s="15">
        <v>7</v>
      </c>
      <c r="X29" s="15">
        <v>0</v>
      </c>
      <c r="Y29" s="15">
        <v>3</v>
      </c>
      <c r="Z29" s="15">
        <v>2</v>
      </c>
      <c r="AA29" s="15">
        <v>0</v>
      </c>
      <c r="AB29" s="15">
        <v>0</v>
      </c>
      <c r="AC29" s="15">
        <v>0</v>
      </c>
      <c r="AD29" s="15">
        <v>0</v>
      </c>
      <c r="AE29" s="15">
        <v>1</v>
      </c>
      <c r="AF29" s="15">
        <v>0</v>
      </c>
      <c r="AG29" s="15">
        <v>0</v>
      </c>
      <c r="AH29" s="15">
        <v>1</v>
      </c>
      <c r="AI29" s="15">
        <v>0</v>
      </c>
      <c r="AJ29" s="15">
        <v>0</v>
      </c>
      <c r="AK29" s="15">
        <v>0</v>
      </c>
      <c r="AL29" s="15">
        <v>0</v>
      </c>
      <c r="AM29" s="15">
        <v>1</v>
      </c>
      <c r="AN29" s="15">
        <v>1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4</v>
      </c>
      <c r="AU29" s="15">
        <v>3</v>
      </c>
      <c r="AV29" s="15">
        <v>3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1</v>
      </c>
      <c r="BF29" s="15">
        <v>0</v>
      </c>
      <c r="BG29" s="15">
        <v>0</v>
      </c>
      <c r="BH29" s="15">
        <v>0</v>
      </c>
      <c r="BI29" s="15">
        <v>1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</row>
    <row r="30" spans="1:72" x14ac:dyDescent="0.2">
      <c r="A30" s="15" t="s">
        <v>130</v>
      </c>
      <c r="B30" t="s">
        <v>135</v>
      </c>
      <c r="C30" s="15" t="s">
        <v>73</v>
      </c>
      <c r="D30" s="15">
        <v>6</v>
      </c>
      <c r="E30" s="15">
        <v>3</v>
      </c>
      <c r="F30" s="15">
        <v>18</v>
      </c>
      <c r="G30" s="15">
        <v>62</v>
      </c>
      <c r="H30" s="15">
        <v>13</v>
      </c>
      <c r="I30" s="15">
        <v>274</v>
      </c>
      <c r="J30" s="15" t="s">
        <v>92</v>
      </c>
      <c r="K30" s="15" t="s">
        <v>76</v>
      </c>
      <c r="L30" s="15" t="s">
        <v>89</v>
      </c>
      <c r="M30" s="15" t="s">
        <v>113</v>
      </c>
      <c r="N30" s="15">
        <v>0</v>
      </c>
      <c r="O30" s="15">
        <v>0</v>
      </c>
      <c r="P30" s="15">
        <v>15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4</v>
      </c>
      <c r="W30" s="15">
        <v>18</v>
      </c>
      <c r="X30" s="15">
        <v>0</v>
      </c>
      <c r="Y30" s="15">
        <v>0</v>
      </c>
      <c r="Z30" s="15">
        <v>1</v>
      </c>
      <c r="AA30" s="15">
        <v>0</v>
      </c>
      <c r="AB30" s="15">
        <v>0</v>
      </c>
      <c r="AC30" s="15">
        <v>1</v>
      </c>
      <c r="AD30" s="15">
        <v>0</v>
      </c>
      <c r="AE30" s="15">
        <v>0</v>
      </c>
      <c r="AF30" s="15">
        <v>0</v>
      </c>
      <c r="AG30" s="15">
        <v>0</v>
      </c>
      <c r="AH30" s="15">
        <v>7</v>
      </c>
      <c r="AI30" s="15">
        <v>0</v>
      </c>
      <c r="AJ30" s="15">
        <v>0</v>
      </c>
      <c r="AK30" s="15">
        <v>0</v>
      </c>
      <c r="AL30" s="15">
        <v>0</v>
      </c>
      <c r="AM30" s="15">
        <v>1</v>
      </c>
      <c r="AN30" s="15">
        <v>3</v>
      </c>
      <c r="AO30" s="15">
        <v>1</v>
      </c>
      <c r="AP30" s="15">
        <v>0</v>
      </c>
      <c r="AQ30" s="15">
        <v>0</v>
      </c>
      <c r="AR30" s="15">
        <v>0</v>
      </c>
      <c r="AS30" s="15">
        <v>0</v>
      </c>
      <c r="AT30" s="15">
        <v>4</v>
      </c>
      <c r="AU30" s="15">
        <v>4</v>
      </c>
      <c r="AV30" s="15">
        <v>0</v>
      </c>
      <c r="AW30" s="15">
        <v>0</v>
      </c>
      <c r="AX30" s="15">
        <v>2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1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</row>
    <row r="31" spans="1:72" x14ac:dyDescent="0.2">
      <c r="A31" s="15" t="s">
        <v>131</v>
      </c>
      <c r="B31" t="s">
        <v>135</v>
      </c>
      <c r="C31" s="15" t="s">
        <v>73</v>
      </c>
      <c r="D31" s="15">
        <v>6</v>
      </c>
      <c r="E31" s="15">
        <v>3</v>
      </c>
      <c r="F31" s="15">
        <v>18</v>
      </c>
      <c r="G31" s="15">
        <v>62</v>
      </c>
      <c r="H31" s="15">
        <v>14</v>
      </c>
      <c r="I31" s="15">
        <v>278</v>
      </c>
      <c r="J31" s="15" t="s">
        <v>92</v>
      </c>
      <c r="K31" s="15" t="s">
        <v>76</v>
      </c>
      <c r="L31" s="15" t="s">
        <v>75</v>
      </c>
      <c r="M31" s="15" t="s">
        <v>113</v>
      </c>
      <c r="N31" s="15">
        <v>0</v>
      </c>
      <c r="O31" s="15">
        <v>0</v>
      </c>
      <c r="P31" s="15">
        <v>18</v>
      </c>
      <c r="Q31" s="15">
        <v>0</v>
      </c>
      <c r="R31" s="15">
        <v>0</v>
      </c>
      <c r="S31" s="15">
        <v>1</v>
      </c>
      <c r="T31" s="15">
        <v>2</v>
      </c>
      <c r="U31" s="15">
        <v>0</v>
      </c>
      <c r="V31" s="15">
        <v>0</v>
      </c>
      <c r="W31" s="15">
        <v>4</v>
      </c>
      <c r="X31" s="15">
        <v>1</v>
      </c>
      <c r="Y31" s="15">
        <v>1</v>
      </c>
      <c r="Z31" s="15">
        <v>0</v>
      </c>
      <c r="AA31" s="15">
        <v>0</v>
      </c>
      <c r="AB31" s="15">
        <v>0</v>
      </c>
      <c r="AC31" s="15">
        <v>4</v>
      </c>
      <c r="AD31" s="15">
        <v>0</v>
      </c>
      <c r="AE31" s="15">
        <v>2</v>
      </c>
      <c r="AF31" s="15">
        <v>0</v>
      </c>
      <c r="AG31" s="15">
        <v>0</v>
      </c>
      <c r="AH31" s="15">
        <v>9</v>
      </c>
      <c r="AI31" s="15">
        <v>0</v>
      </c>
      <c r="AJ31" s="15">
        <v>1</v>
      </c>
      <c r="AK31" s="15">
        <v>0</v>
      </c>
      <c r="AL31" s="15">
        <v>0</v>
      </c>
      <c r="AM31" s="15">
        <v>5</v>
      </c>
      <c r="AN31" s="15">
        <v>0</v>
      </c>
      <c r="AO31" s="15">
        <v>0</v>
      </c>
      <c r="AP31" s="15">
        <v>0</v>
      </c>
      <c r="AQ31" s="15">
        <v>0</v>
      </c>
      <c r="AR31" s="15">
        <v>1</v>
      </c>
      <c r="AS31" s="15">
        <v>0</v>
      </c>
      <c r="AT31" s="15">
        <v>4</v>
      </c>
      <c r="AU31" s="15">
        <v>9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</row>
    <row r="32" spans="1:72" x14ac:dyDescent="0.2">
      <c r="A32" s="15" t="s">
        <v>72</v>
      </c>
      <c r="B32" t="s">
        <v>136</v>
      </c>
      <c r="C32" s="15" t="s">
        <v>73</v>
      </c>
      <c r="D32" s="15">
        <v>6</v>
      </c>
      <c r="E32" s="15">
        <v>3</v>
      </c>
      <c r="F32" s="15">
        <v>18</v>
      </c>
      <c r="G32" s="15">
        <v>52</v>
      </c>
      <c r="H32" s="15">
        <v>13</v>
      </c>
      <c r="I32" s="20">
        <v>225</v>
      </c>
      <c r="J32" s="15" t="s">
        <v>74</v>
      </c>
      <c r="K32" s="15" t="s">
        <v>75</v>
      </c>
      <c r="L32" s="15" t="s">
        <v>76</v>
      </c>
      <c r="M32" s="15" t="s">
        <v>77</v>
      </c>
      <c r="N32" s="15">
        <v>0</v>
      </c>
      <c r="O32" s="15">
        <v>0</v>
      </c>
      <c r="P32" s="15">
        <v>19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3</v>
      </c>
      <c r="W32" s="15">
        <v>1</v>
      </c>
      <c r="X32" s="15">
        <v>0</v>
      </c>
      <c r="Y32" s="15">
        <v>1</v>
      </c>
      <c r="Z32" s="15">
        <v>1</v>
      </c>
      <c r="AA32" s="15">
        <v>0</v>
      </c>
      <c r="AB32" s="15">
        <v>0</v>
      </c>
      <c r="AC32" s="15">
        <v>2</v>
      </c>
      <c r="AD32" s="15">
        <v>1</v>
      </c>
      <c r="AE32" s="15">
        <v>5</v>
      </c>
      <c r="AF32" s="15">
        <v>0</v>
      </c>
      <c r="AG32" s="15">
        <v>0</v>
      </c>
      <c r="AH32" s="15">
        <v>3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2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6</v>
      </c>
      <c r="AU32" s="15">
        <v>7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1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</row>
    <row r="33" spans="1:72" x14ac:dyDescent="0.2">
      <c r="A33" s="15" t="s">
        <v>78</v>
      </c>
      <c r="B33" t="s">
        <v>136</v>
      </c>
      <c r="C33" s="15" t="s">
        <v>79</v>
      </c>
      <c r="D33" s="15">
        <v>8</v>
      </c>
      <c r="E33" s="15">
        <v>3</v>
      </c>
      <c r="F33" s="15">
        <v>24</v>
      </c>
      <c r="G33" s="15">
        <v>70</v>
      </c>
      <c r="H33" s="15">
        <v>15</v>
      </c>
      <c r="I33" s="15">
        <v>150</v>
      </c>
      <c r="J33" s="15" t="s">
        <v>80</v>
      </c>
      <c r="K33" s="15" t="s">
        <v>81</v>
      </c>
      <c r="L33" s="15" t="s">
        <v>75</v>
      </c>
      <c r="M33" s="15" t="s">
        <v>77</v>
      </c>
      <c r="N33" s="15">
        <v>0</v>
      </c>
      <c r="O33" s="15">
        <v>0</v>
      </c>
      <c r="P33" s="15">
        <v>17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3</v>
      </c>
      <c r="X33" s="15">
        <v>0</v>
      </c>
      <c r="Y33" s="15">
        <v>1</v>
      </c>
      <c r="Z33" s="15">
        <v>1</v>
      </c>
      <c r="AA33" s="15">
        <v>0</v>
      </c>
      <c r="AB33" s="15">
        <v>0</v>
      </c>
      <c r="AC33" s="15">
        <v>1</v>
      </c>
      <c r="AD33" s="15">
        <v>0</v>
      </c>
      <c r="AE33" s="15">
        <v>4</v>
      </c>
      <c r="AF33" s="15">
        <v>0</v>
      </c>
      <c r="AG33" s="15">
        <v>0</v>
      </c>
      <c r="AH33" s="15">
        <v>14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5</v>
      </c>
      <c r="AO33" s="15">
        <v>0</v>
      </c>
      <c r="AP33" s="15">
        <v>0</v>
      </c>
      <c r="AQ33" s="15">
        <v>0</v>
      </c>
      <c r="AR33" s="15">
        <v>0</v>
      </c>
      <c r="AS33" s="15">
        <v>3</v>
      </c>
      <c r="AT33" s="15">
        <v>3</v>
      </c>
      <c r="AU33" s="15">
        <v>6</v>
      </c>
      <c r="AV33" s="15">
        <v>5</v>
      </c>
      <c r="AW33" s="15">
        <v>0</v>
      </c>
      <c r="AX33" s="15">
        <v>2</v>
      </c>
      <c r="AY33" s="15">
        <v>0</v>
      </c>
      <c r="AZ33" s="15">
        <v>3</v>
      </c>
      <c r="BA33" s="15">
        <v>0</v>
      </c>
      <c r="BB33" s="15">
        <v>0</v>
      </c>
      <c r="BC33" s="15">
        <v>0</v>
      </c>
      <c r="BD33" s="15">
        <v>0</v>
      </c>
      <c r="BE33" s="15">
        <v>2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</row>
    <row r="34" spans="1:72" x14ac:dyDescent="0.2">
      <c r="A34" s="15" t="s">
        <v>82</v>
      </c>
      <c r="B34" t="s">
        <v>136</v>
      </c>
      <c r="C34" s="15" t="s">
        <v>73</v>
      </c>
      <c r="D34" s="15">
        <v>6</v>
      </c>
      <c r="E34" s="15">
        <v>3</v>
      </c>
      <c r="F34" s="15">
        <v>18</v>
      </c>
      <c r="G34" s="15">
        <v>49</v>
      </c>
      <c r="H34" s="15">
        <v>13</v>
      </c>
      <c r="I34" s="15">
        <v>179</v>
      </c>
      <c r="J34" s="15" t="s">
        <v>83</v>
      </c>
      <c r="K34" s="15" t="s">
        <v>84</v>
      </c>
      <c r="L34" s="15" t="s">
        <v>85</v>
      </c>
      <c r="M34" s="15" t="s">
        <v>86</v>
      </c>
      <c r="N34" s="15">
        <v>0</v>
      </c>
      <c r="O34" s="15">
        <v>0</v>
      </c>
      <c r="P34" s="15">
        <v>25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1</v>
      </c>
      <c r="W34" s="15">
        <v>2</v>
      </c>
      <c r="X34" s="15">
        <v>1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2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1</v>
      </c>
      <c r="AM34" s="15">
        <v>2</v>
      </c>
      <c r="AN34" s="15">
        <v>2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5</v>
      </c>
      <c r="AU34" s="15">
        <v>1</v>
      </c>
      <c r="AV34" s="15">
        <v>0</v>
      </c>
      <c r="AW34" s="15">
        <v>0</v>
      </c>
      <c r="AX34" s="15">
        <v>2</v>
      </c>
      <c r="AY34" s="15">
        <v>0</v>
      </c>
      <c r="AZ34" s="15">
        <v>4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</row>
    <row r="35" spans="1:72" x14ac:dyDescent="0.2">
      <c r="A35" s="15" t="s">
        <v>87</v>
      </c>
      <c r="B35" t="s">
        <v>136</v>
      </c>
      <c r="C35" s="15" t="s">
        <v>73</v>
      </c>
      <c r="D35" s="15">
        <v>6</v>
      </c>
      <c r="E35" s="15">
        <v>3</v>
      </c>
      <c r="F35" s="15">
        <v>18</v>
      </c>
      <c r="G35" s="15">
        <v>37</v>
      </c>
      <c r="H35" s="15">
        <v>14</v>
      </c>
      <c r="I35" s="15">
        <v>88</v>
      </c>
      <c r="J35" s="15" t="s">
        <v>88</v>
      </c>
      <c r="K35" s="15" t="s">
        <v>81</v>
      </c>
      <c r="L35" s="15" t="s">
        <v>89</v>
      </c>
      <c r="M35" s="15" t="s">
        <v>86</v>
      </c>
      <c r="N35" s="15">
        <v>0</v>
      </c>
      <c r="O35" s="15">
        <v>0</v>
      </c>
      <c r="P35" s="15">
        <v>13</v>
      </c>
      <c r="Q35" s="15">
        <v>0</v>
      </c>
      <c r="R35" s="15">
        <v>0</v>
      </c>
      <c r="S35" s="15">
        <v>0</v>
      </c>
      <c r="T35" s="15">
        <v>2</v>
      </c>
      <c r="U35" s="15">
        <v>0</v>
      </c>
      <c r="V35" s="15">
        <v>0</v>
      </c>
      <c r="W35" s="15">
        <v>3</v>
      </c>
      <c r="X35" s="15">
        <v>0</v>
      </c>
      <c r="Y35" s="15">
        <v>0</v>
      </c>
      <c r="Z35" s="15">
        <v>1</v>
      </c>
      <c r="AA35" s="15">
        <v>0</v>
      </c>
      <c r="AB35" s="15">
        <v>0</v>
      </c>
      <c r="AC35" s="15">
        <v>3</v>
      </c>
      <c r="AD35" s="15">
        <v>0</v>
      </c>
      <c r="AE35" s="15">
        <v>1</v>
      </c>
      <c r="AF35" s="15">
        <v>0</v>
      </c>
      <c r="AG35" s="15">
        <v>0</v>
      </c>
      <c r="AH35" s="15">
        <v>5</v>
      </c>
      <c r="AI35" s="15">
        <v>0</v>
      </c>
      <c r="AJ35" s="15">
        <v>0</v>
      </c>
      <c r="AK35" s="15">
        <v>0</v>
      </c>
      <c r="AL35" s="15">
        <v>0</v>
      </c>
      <c r="AM35" s="15">
        <v>1</v>
      </c>
      <c r="AN35" s="15">
        <v>1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3</v>
      </c>
      <c r="AU35" s="15">
        <v>1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1</v>
      </c>
      <c r="BG35" s="15">
        <v>0</v>
      </c>
      <c r="BH35" s="15">
        <v>0</v>
      </c>
      <c r="BI35" s="15">
        <v>0</v>
      </c>
      <c r="BJ35" s="15">
        <v>1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1</v>
      </c>
      <c r="BR35" s="15">
        <v>0</v>
      </c>
      <c r="BS35" s="15">
        <v>0</v>
      </c>
      <c r="BT35" s="15">
        <v>0</v>
      </c>
    </row>
    <row r="36" spans="1:72" x14ac:dyDescent="0.2">
      <c r="A36" s="15" t="s">
        <v>90</v>
      </c>
      <c r="B36" t="s">
        <v>136</v>
      </c>
      <c r="C36" s="15" t="s">
        <v>91</v>
      </c>
      <c r="D36" s="15">
        <v>2</v>
      </c>
      <c r="E36" s="15">
        <v>2</v>
      </c>
      <c r="F36" s="15">
        <v>4</v>
      </c>
      <c r="G36" s="15">
        <v>39</v>
      </c>
      <c r="H36" s="15">
        <v>13</v>
      </c>
      <c r="I36" s="15">
        <v>255</v>
      </c>
      <c r="J36" s="15" t="s">
        <v>92</v>
      </c>
      <c r="K36" s="15" t="s">
        <v>85</v>
      </c>
      <c r="L36" s="15" t="s">
        <v>84</v>
      </c>
      <c r="M36" s="15" t="s">
        <v>86</v>
      </c>
      <c r="N36" s="15">
        <v>0</v>
      </c>
      <c r="O36" s="15">
        <v>0</v>
      </c>
      <c r="P36" s="15">
        <v>14</v>
      </c>
      <c r="Q36" s="15">
        <v>0</v>
      </c>
      <c r="R36" s="15">
        <v>1</v>
      </c>
      <c r="S36" s="15">
        <v>0</v>
      </c>
      <c r="T36" s="15">
        <v>1</v>
      </c>
      <c r="U36" s="15">
        <v>0</v>
      </c>
      <c r="V36" s="15">
        <v>0</v>
      </c>
      <c r="W36" s="15">
        <v>5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1</v>
      </c>
      <c r="AD36" s="15">
        <v>0</v>
      </c>
      <c r="AE36" s="15">
        <v>5</v>
      </c>
      <c r="AF36" s="15">
        <v>0</v>
      </c>
      <c r="AG36" s="15">
        <v>0</v>
      </c>
      <c r="AH36" s="15">
        <v>2</v>
      </c>
      <c r="AI36" s="15">
        <v>0</v>
      </c>
      <c r="AJ36" s="15">
        <v>0</v>
      </c>
      <c r="AK36" s="15">
        <v>0</v>
      </c>
      <c r="AL36" s="15">
        <v>0</v>
      </c>
      <c r="AM36" s="15">
        <v>1</v>
      </c>
      <c r="AN36" s="15">
        <v>2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4</v>
      </c>
      <c r="AU36" s="15">
        <v>1</v>
      </c>
      <c r="AV36" s="15">
        <v>0</v>
      </c>
      <c r="AW36" s="15">
        <v>0</v>
      </c>
      <c r="AX36" s="15">
        <v>0</v>
      </c>
      <c r="AY36" s="15">
        <v>0</v>
      </c>
      <c r="AZ36" s="15">
        <v>1</v>
      </c>
      <c r="BA36" s="15">
        <v>0</v>
      </c>
      <c r="BB36" s="15">
        <v>0</v>
      </c>
      <c r="BC36" s="15">
        <v>0</v>
      </c>
      <c r="BD36" s="15">
        <v>0</v>
      </c>
      <c r="BE36" s="15">
        <v>1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</row>
    <row r="37" spans="1:72" x14ac:dyDescent="0.2">
      <c r="A37" s="15" t="s">
        <v>93</v>
      </c>
      <c r="B37" t="s">
        <v>136</v>
      </c>
      <c r="C37" s="15" t="s">
        <v>73</v>
      </c>
      <c r="D37" s="15">
        <v>6</v>
      </c>
      <c r="E37" s="15">
        <v>2</v>
      </c>
      <c r="F37" s="15">
        <v>12</v>
      </c>
      <c r="G37" s="15">
        <v>25</v>
      </c>
      <c r="H37" s="15">
        <v>14</v>
      </c>
      <c r="I37" s="15">
        <v>255</v>
      </c>
      <c r="J37" s="15" t="s">
        <v>92</v>
      </c>
      <c r="K37" s="15" t="s">
        <v>75</v>
      </c>
      <c r="L37" s="15" t="s">
        <v>85</v>
      </c>
      <c r="M37" s="15" t="s">
        <v>94</v>
      </c>
      <c r="N37" s="15">
        <v>0</v>
      </c>
      <c r="O37" s="15">
        <v>0</v>
      </c>
      <c r="P37" s="15">
        <v>5</v>
      </c>
      <c r="Q37" s="15">
        <v>1</v>
      </c>
      <c r="R37" s="15">
        <v>0</v>
      </c>
      <c r="S37" s="15">
        <v>0</v>
      </c>
      <c r="T37" s="15">
        <v>2</v>
      </c>
      <c r="U37" s="15">
        <v>0</v>
      </c>
      <c r="V37" s="15">
        <v>1</v>
      </c>
      <c r="W37" s="15">
        <v>3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1</v>
      </c>
      <c r="AD37" s="15">
        <v>0</v>
      </c>
      <c r="AE37" s="15">
        <v>0</v>
      </c>
      <c r="AF37" s="15">
        <v>1</v>
      </c>
      <c r="AG37" s="15">
        <v>0</v>
      </c>
      <c r="AH37" s="15">
        <v>2</v>
      </c>
      <c r="AI37" s="15">
        <v>1</v>
      </c>
      <c r="AJ37" s="15">
        <v>0</v>
      </c>
      <c r="AK37" s="15">
        <v>0</v>
      </c>
      <c r="AL37" s="15">
        <v>0</v>
      </c>
      <c r="AM37" s="15">
        <v>1</v>
      </c>
      <c r="AN37" s="15">
        <v>2</v>
      </c>
      <c r="AO37" s="15">
        <v>0</v>
      </c>
      <c r="AP37" s="15">
        <v>0</v>
      </c>
      <c r="AQ37" s="15">
        <v>0</v>
      </c>
      <c r="AR37" s="15">
        <v>0</v>
      </c>
      <c r="AS37" s="15">
        <v>1</v>
      </c>
      <c r="AT37" s="15">
        <v>2</v>
      </c>
      <c r="AU37" s="15">
        <v>2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</row>
    <row r="38" spans="1:72" x14ac:dyDescent="0.2">
      <c r="A38" s="15" t="s">
        <v>95</v>
      </c>
      <c r="B38" t="s">
        <v>136</v>
      </c>
      <c r="C38" s="15" t="s">
        <v>96</v>
      </c>
      <c r="D38" s="15">
        <v>4</v>
      </c>
      <c r="E38" s="15">
        <v>3</v>
      </c>
      <c r="F38" s="15">
        <v>12</v>
      </c>
      <c r="G38" s="15">
        <v>66</v>
      </c>
      <c r="H38" s="15">
        <v>7</v>
      </c>
      <c r="I38" s="15">
        <v>2</v>
      </c>
      <c r="J38" s="15" t="s">
        <v>97</v>
      </c>
      <c r="K38" s="15" t="s">
        <v>84</v>
      </c>
      <c r="L38" s="15" t="s">
        <v>84</v>
      </c>
      <c r="M38" s="15" t="s">
        <v>94</v>
      </c>
      <c r="N38" s="15">
        <v>0</v>
      </c>
      <c r="O38" s="15">
        <v>0</v>
      </c>
      <c r="P38" s="15">
        <v>7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1</v>
      </c>
      <c r="W38" s="15">
        <v>0</v>
      </c>
      <c r="X38" s="15">
        <v>1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2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51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3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1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</row>
    <row r="39" spans="1:72" x14ac:dyDescent="0.2">
      <c r="A39" s="15" t="s">
        <v>98</v>
      </c>
      <c r="B39" t="s">
        <v>136</v>
      </c>
      <c r="C39" s="15" t="s">
        <v>73</v>
      </c>
      <c r="D39" s="15">
        <v>6</v>
      </c>
      <c r="E39" s="15">
        <v>3</v>
      </c>
      <c r="F39" s="15">
        <v>18</v>
      </c>
      <c r="G39" s="15">
        <v>71</v>
      </c>
      <c r="H39" s="15">
        <v>15</v>
      </c>
      <c r="I39" s="15">
        <v>171</v>
      </c>
      <c r="J39" s="15" t="s">
        <v>83</v>
      </c>
      <c r="K39" s="15" t="s">
        <v>81</v>
      </c>
      <c r="L39" s="15" t="s">
        <v>89</v>
      </c>
      <c r="M39" s="15" t="s">
        <v>99</v>
      </c>
      <c r="N39" s="15">
        <v>2</v>
      </c>
      <c r="O39" s="15">
        <v>0</v>
      </c>
      <c r="P39" s="15">
        <v>33</v>
      </c>
      <c r="Q39" s="15">
        <v>0</v>
      </c>
      <c r="R39" s="15">
        <v>0</v>
      </c>
      <c r="S39" s="15">
        <v>0</v>
      </c>
      <c r="T39" s="15">
        <v>2</v>
      </c>
      <c r="U39" s="15">
        <v>0</v>
      </c>
      <c r="V39" s="15">
        <v>1</v>
      </c>
      <c r="W39" s="15">
        <v>5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1</v>
      </c>
      <c r="AD39" s="15">
        <v>0</v>
      </c>
      <c r="AE39" s="15">
        <v>2</v>
      </c>
      <c r="AF39" s="15">
        <v>1</v>
      </c>
      <c r="AG39" s="15">
        <v>0</v>
      </c>
      <c r="AH39" s="15">
        <v>7</v>
      </c>
      <c r="AI39" s="15">
        <v>1</v>
      </c>
      <c r="AJ39" s="15">
        <v>0</v>
      </c>
      <c r="AK39" s="15">
        <v>1</v>
      </c>
      <c r="AL39" s="15">
        <v>0</v>
      </c>
      <c r="AM39" s="15">
        <v>11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1</v>
      </c>
      <c r="AU39" s="15">
        <v>2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1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</row>
    <row r="40" spans="1:72" x14ac:dyDescent="0.2">
      <c r="A40" s="15" t="s">
        <v>100</v>
      </c>
      <c r="B40" t="s">
        <v>136</v>
      </c>
      <c r="C40" s="15" t="s">
        <v>73</v>
      </c>
      <c r="D40" s="15">
        <v>6</v>
      </c>
      <c r="E40" s="15">
        <v>2</v>
      </c>
      <c r="F40" s="15">
        <v>12</v>
      </c>
      <c r="G40" s="15">
        <v>28</v>
      </c>
      <c r="H40" s="15">
        <v>11</v>
      </c>
      <c r="I40" s="15">
        <v>268</v>
      </c>
      <c r="J40" s="15" t="s">
        <v>92</v>
      </c>
      <c r="K40" s="15" t="s">
        <v>75</v>
      </c>
      <c r="L40" s="15" t="s">
        <v>89</v>
      </c>
      <c r="M40" s="15" t="s">
        <v>94</v>
      </c>
      <c r="N40" s="15">
        <v>0</v>
      </c>
      <c r="O40" s="15">
        <v>0</v>
      </c>
      <c r="P40" s="15">
        <v>9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5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2</v>
      </c>
      <c r="AD40" s="15">
        <v>0</v>
      </c>
      <c r="AE40" s="15">
        <v>4</v>
      </c>
      <c r="AF40" s="15">
        <v>0</v>
      </c>
      <c r="AG40" s="15">
        <v>0</v>
      </c>
      <c r="AH40" s="15">
        <v>1</v>
      </c>
      <c r="AI40" s="15">
        <v>0</v>
      </c>
      <c r="AJ40" s="15">
        <v>0</v>
      </c>
      <c r="AK40" s="15">
        <v>0</v>
      </c>
      <c r="AL40" s="15">
        <v>0</v>
      </c>
      <c r="AM40" s="15">
        <v>1</v>
      </c>
      <c r="AN40" s="15">
        <v>2</v>
      </c>
      <c r="AO40" s="15">
        <v>0</v>
      </c>
      <c r="AP40" s="15">
        <v>0</v>
      </c>
      <c r="AQ40" s="15">
        <v>0</v>
      </c>
      <c r="AR40" s="15">
        <v>0</v>
      </c>
      <c r="AS40" s="15">
        <v>1</v>
      </c>
      <c r="AT40" s="15">
        <v>1</v>
      </c>
      <c r="AU40" s="15">
        <v>1</v>
      </c>
      <c r="AV40" s="15">
        <v>1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</row>
    <row r="41" spans="1:72" x14ac:dyDescent="0.2">
      <c r="A41" s="15" t="s">
        <v>101</v>
      </c>
      <c r="B41" t="s">
        <v>136</v>
      </c>
      <c r="C41" s="15" t="s">
        <v>102</v>
      </c>
      <c r="D41" s="15">
        <v>1</v>
      </c>
      <c r="E41" s="15">
        <v>3</v>
      </c>
      <c r="F41" s="15">
        <v>3</v>
      </c>
      <c r="G41" s="15">
        <v>17</v>
      </c>
      <c r="H41" s="15">
        <v>10</v>
      </c>
      <c r="I41" s="15">
        <v>333</v>
      </c>
      <c r="J41" s="15" t="s">
        <v>103</v>
      </c>
      <c r="K41" s="15" t="s">
        <v>104</v>
      </c>
      <c r="L41" s="15" t="s">
        <v>84</v>
      </c>
      <c r="M41" s="15" t="s">
        <v>94</v>
      </c>
      <c r="N41" s="15">
        <v>0</v>
      </c>
      <c r="O41" s="15">
        <v>0</v>
      </c>
      <c r="P41" s="15">
        <v>5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2</v>
      </c>
      <c r="X41" s="15">
        <v>1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1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2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2</v>
      </c>
      <c r="AT41" s="15">
        <v>1</v>
      </c>
      <c r="AU41" s="15">
        <v>1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1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</row>
    <row r="42" spans="1:72" x14ac:dyDescent="0.2">
      <c r="A42" s="15" t="s">
        <v>105</v>
      </c>
      <c r="B42" t="s">
        <v>136</v>
      </c>
      <c r="C42" s="15" t="s">
        <v>96</v>
      </c>
      <c r="D42" s="15">
        <v>4</v>
      </c>
      <c r="E42" s="15">
        <v>3</v>
      </c>
      <c r="F42" s="15">
        <v>12</v>
      </c>
      <c r="G42" s="15">
        <v>28</v>
      </c>
      <c r="H42" s="15">
        <v>10</v>
      </c>
      <c r="I42" s="15">
        <v>0</v>
      </c>
      <c r="J42" s="15" t="s">
        <v>97</v>
      </c>
      <c r="K42" s="15" t="s">
        <v>85</v>
      </c>
      <c r="L42" s="15" t="s">
        <v>84</v>
      </c>
      <c r="M42" s="15" t="s">
        <v>94</v>
      </c>
      <c r="N42" s="15">
        <v>0</v>
      </c>
      <c r="O42" s="15">
        <v>0</v>
      </c>
      <c r="P42" s="15">
        <v>9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1</v>
      </c>
      <c r="X42" s="15">
        <v>0</v>
      </c>
      <c r="Y42" s="15">
        <v>0</v>
      </c>
      <c r="Z42" s="15">
        <v>1</v>
      </c>
      <c r="AA42" s="15">
        <v>0</v>
      </c>
      <c r="AB42" s="15">
        <v>0</v>
      </c>
      <c r="AC42" s="15">
        <v>0</v>
      </c>
      <c r="AD42" s="15">
        <v>0</v>
      </c>
      <c r="AE42" s="15">
        <v>1</v>
      </c>
      <c r="AF42" s="15">
        <v>0</v>
      </c>
      <c r="AG42" s="15">
        <v>0</v>
      </c>
      <c r="AH42" s="15">
        <v>1</v>
      </c>
      <c r="AI42" s="15">
        <v>0</v>
      </c>
      <c r="AJ42" s="15">
        <v>1</v>
      </c>
      <c r="AK42" s="15">
        <v>0</v>
      </c>
      <c r="AL42" s="15">
        <v>0</v>
      </c>
      <c r="AM42" s="15">
        <v>8</v>
      </c>
      <c r="AN42" s="15">
        <v>1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3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2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</row>
    <row r="43" spans="1:72" x14ac:dyDescent="0.2">
      <c r="A43" s="15" t="s">
        <v>106</v>
      </c>
      <c r="B43" t="s">
        <v>136</v>
      </c>
      <c r="C43" s="15" t="s">
        <v>96</v>
      </c>
      <c r="D43" s="15">
        <v>4</v>
      </c>
      <c r="E43" s="15">
        <v>3</v>
      </c>
      <c r="F43" s="15">
        <v>12</v>
      </c>
      <c r="G43" s="15">
        <v>54</v>
      </c>
      <c r="H43" s="15">
        <v>8</v>
      </c>
      <c r="I43" s="15">
        <v>358</v>
      </c>
      <c r="J43" s="15" t="s">
        <v>97</v>
      </c>
      <c r="K43" s="15" t="s">
        <v>85</v>
      </c>
      <c r="L43" s="15" t="s">
        <v>85</v>
      </c>
      <c r="M43" s="15" t="s">
        <v>94</v>
      </c>
      <c r="N43" s="15">
        <v>0</v>
      </c>
      <c r="O43" s="15">
        <v>0</v>
      </c>
      <c r="P43" s="15">
        <v>15</v>
      </c>
      <c r="Q43" s="15">
        <v>0</v>
      </c>
      <c r="R43" s="15">
        <v>0</v>
      </c>
      <c r="S43" s="15">
        <v>0</v>
      </c>
      <c r="T43" s="15">
        <v>2</v>
      </c>
      <c r="U43" s="15">
        <v>0</v>
      </c>
      <c r="V43" s="15">
        <v>0</v>
      </c>
      <c r="W43" s="15">
        <v>22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1</v>
      </c>
      <c r="AD43" s="15">
        <v>0</v>
      </c>
      <c r="AE43" s="15">
        <v>1</v>
      </c>
      <c r="AF43" s="15">
        <v>0</v>
      </c>
      <c r="AG43" s="15">
        <v>0</v>
      </c>
      <c r="AH43" s="15">
        <v>0</v>
      </c>
      <c r="AI43" s="15">
        <v>1</v>
      </c>
      <c r="AJ43" s="15">
        <v>0</v>
      </c>
      <c r="AK43" s="15">
        <v>0</v>
      </c>
      <c r="AL43" s="15">
        <v>0</v>
      </c>
      <c r="AM43" s="15">
        <v>9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3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</row>
    <row r="44" spans="1:72" x14ac:dyDescent="0.2">
      <c r="A44" s="15" t="s">
        <v>107</v>
      </c>
      <c r="B44" t="s">
        <v>136</v>
      </c>
      <c r="C44" s="15" t="s">
        <v>96</v>
      </c>
      <c r="D44" s="15">
        <v>4</v>
      </c>
      <c r="E44" s="15">
        <v>3</v>
      </c>
      <c r="F44" s="15">
        <v>12</v>
      </c>
      <c r="G44" s="15">
        <v>56</v>
      </c>
      <c r="H44" s="15">
        <v>9</v>
      </c>
      <c r="I44" s="15">
        <v>4</v>
      </c>
      <c r="J44" s="15" t="s">
        <v>97</v>
      </c>
      <c r="K44" s="15" t="s">
        <v>84</v>
      </c>
      <c r="L44" s="15" t="s">
        <v>84</v>
      </c>
      <c r="M44" s="15" t="s">
        <v>108</v>
      </c>
      <c r="N44" s="15">
        <v>0</v>
      </c>
      <c r="O44" s="15">
        <v>0</v>
      </c>
      <c r="P44" s="15">
        <v>20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4</v>
      </c>
      <c r="AD44" s="15">
        <v>0</v>
      </c>
      <c r="AE44" s="15">
        <v>4</v>
      </c>
      <c r="AF44" s="15">
        <v>0</v>
      </c>
      <c r="AG44" s="15">
        <v>0</v>
      </c>
      <c r="AH44" s="15">
        <v>1</v>
      </c>
      <c r="AI44" s="15">
        <v>0</v>
      </c>
      <c r="AJ44" s="15">
        <v>0</v>
      </c>
      <c r="AK44" s="15">
        <v>0</v>
      </c>
      <c r="AL44" s="15">
        <v>0</v>
      </c>
      <c r="AM44" s="15">
        <v>17</v>
      </c>
      <c r="AN44" s="15">
        <v>1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2</v>
      </c>
      <c r="AU44" s="15">
        <v>6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1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</row>
    <row r="45" spans="1:72" x14ac:dyDescent="0.2">
      <c r="A45" s="15" t="s">
        <v>109</v>
      </c>
      <c r="B45" t="s">
        <v>136</v>
      </c>
      <c r="C45" s="15" t="s">
        <v>110</v>
      </c>
      <c r="D45" s="15">
        <v>2</v>
      </c>
      <c r="E45" s="15">
        <v>2</v>
      </c>
      <c r="F45" s="15">
        <v>4</v>
      </c>
      <c r="G45" s="15">
        <v>54</v>
      </c>
      <c r="H45" s="15">
        <v>17</v>
      </c>
      <c r="I45" s="15">
        <v>268</v>
      </c>
      <c r="J45" s="15" t="s">
        <v>92</v>
      </c>
      <c r="K45" s="15" t="s">
        <v>104</v>
      </c>
      <c r="L45" s="15" t="s">
        <v>104</v>
      </c>
      <c r="M45" s="15" t="s">
        <v>99</v>
      </c>
      <c r="N45" s="15">
        <v>0</v>
      </c>
      <c r="O45" s="15">
        <v>0</v>
      </c>
      <c r="P45" s="15">
        <v>12</v>
      </c>
      <c r="Q45" s="15">
        <v>0</v>
      </c>
      <c r="R45" s="15">
        <v>2</v>
      </c>
      <c r="S45" s="15">
        <v>0</v>
      </c>
      <c r="T45" s="15">
        <v>4</v>
      </c>
      <c r="U45" s="15">
        <v>0</v>
      </c>
      <c r="V45" s="15">
        <v>0</v>
      </c>
      <c r="W45" s="15">
        <v>4</v>
      </c>
      <c r="X45" s="15">
        <v>0</v>
      </c>
      <c r="Y45" s="15">
        <v>1</v>
      </c>
      <c r="Z45" s="15">
        <v>2</v>
      </c>
      <c r="AA45" s="15">
        <v>0</v>
      </c>
      <c r="AB45" s="15">
        <v>0</v>
      </c>
      <c r="AC45" s="15">
        <v>1</v>
      </c>
      <c r="AD45" s="15">
        <v>0</v>
      </c>
      <c r="AE45" s="15">
        <v>2</v>
      </c>
      <c r="AF45" s="15">
        <v>0</v>
      </c>
      <c r="AG45" s="15">
        <v>0</v>
      </c>
      <c r="AH45" s="15">
        <v>1</v>
      </c>
      <c r="AI45" s="15">
        <v>1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8</v>
      </c>
      <c r="AU45" s="15">
        <v>11</v>
      </c>
      <c r="AV45" s="15">
        <v>1</v>
      </c>
      <c r="AW45" s="15">
        <v>0</v>
      </c>
      <c r="AX45" s="15">
        <v>1</v>
      </c>
      <c r="AY45" s="15">
        <v>0</v>
      </c>
      <c r="AZ45" s="15">
        <v>1</v>
      </c>
      <c r="BA45" s="15">
        <v>0</v>
      </c>
      <c r="BB45" s="15">
        <v>0</v>
      </c>
      <c r="BC45" s="15">
        <v>0</v>
      </c>
      <c r="BD45" s="15">
        <v>0</v>
      </c>
      <c r="BE45" s="15">
        <v>1</v>
      </c>
      <c r="BF45" s="15">
        <v>1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</row>
    <row r="46" spans="1:72" x14ac:dyDescent="0.2">
      <c r="A46" s="15" t="s">
        <v>111</v>
      </c>
      <c r="B46" t="s">
        <v>136</v>
      </c>
      <c r="C46" s="15" t="s">
        <v>110</v>
      </c>
      <c r="D46" s="15">
        <v>2</v>
      </c>
      <c r="E46" s="15">
        <v>2</v>
      </c>
      <c r="F46" s="15">
        <v>4</v>
      </c>
      <c r="G46" s="15">
        <v>66</v>
      </c>
      <c r="H46" s="15">
        <v>19</v>
      </c>
      <c r="I46" s="15">
        <v>84</v>
      </c>
      <c r="J46" s="15" t="s">
        <v>88</v>
      </c>
      <c r="K46" s="15" t="s">
        <v>104</v>
      </c>
      <c r="L46" s="15" t="s">
        <v>104</v>
      </c>
      <c r="M46" s="15" t="s">
        <v>99</v>
      </c>
      <c r="N46" s="15">
        <v>1</v>
      </c>
      <c r="O46" s="15">
        <v>0</v>
      </c>
      <c r="P46" s="15">
        <v>14</v>
      </c>
      <c r="Q46" s="15">
        <v>0</v>
      </c>
      <c r="R46" s="15">
        <v>3</v>
      </c>
      <c r="S46" s="15">
        <v>0</v>
      </c>
      <c r="T46" s="15">
        <v>1</v>
      </c>
      <c r="U46" s="15">
        <v>0</v>
      </c>
      <c r="V46" s="15">
        <v>1</v>
      </c>
      <c r="W46" s="15">
        <v>2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1</v>
      </c>
      <c r="AD46" s="15">
        <v>0</v>
      </c>
      <c r="AE46" s="15">
        <v>3</v>
      </c>
      <c r="AF46" s="15">
        <v>2</v>
      </c>
      <c r="AG46" s="15">
        <v>0</v>
      </c>
      <c r="AH46" s="15">
        <v>1</v>
      </c>
      <c r="AI46" s="15">
        <v>3</v>
      </c>
      <c r="AJ46" s="15">
        <v>0</v>
      </c>
      <c r="AK46" s="15">
        <v>0</v>
      </c>
      <c r="AL46" s="15">
        <v>0</v>
      </c>
      <c r="AM46" s="15">
        <v>1</v>
      </c>
      <c r="AN46" s="15">
        <v>2</v>
      </c>
      <c r="AO46" s="15">
        <v>0</v>
      </c>
      <c r="AP46" s="15">
        <v>0</v>
      </c>
      <c r="AQ46" s="15">
        <v>0</v>
      </c>
      <c r="AR46" s="15">
        <v>0</v>
      </c>
      <c r="AS46" s="15">
        <v>1</v>
      </c>
      <c r="AT46" s="15">
        <v>18</v>
      </c>
      <c r="AU46" s="15">
        <v>9</v>
      </c>
      <c r="AV46" s="15">
        <v>0</v>
      </c>
      <c r="AW46" s="15">
        <v>0</v>
      </c>
      <c r="AX46" s="15">
        <v>1</v>
      </c>
      <c r="AY46" s="15">
        <v>0</v>
      </c>
      <c r="AZ46" s="15">
        <v>1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1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</row>
    <row r="47" spans="1:72" x14ac:dyDescent="0.2">
      <c r="A47" s="15" t="s">
        <v>112</v>
      </c>
      <c r="B47" t="s">
        <v>136</v>
      </c>
      <c r="C47" s="15" t="s">
        <v>96</v>
      </c>
      <c r="D47" s="15">
        <v>4</v>
      </c>
      <c r="E47" s="15">
        <v>3</v>
      </c>
      <c r="F47" s="15">
        <v>12</v>
      </c>
      <c r="G47" s="15">
        <v>52</v>
      </c>
      <c r="H47" s="15">
        <v>13</v>
      </c>
      <c r="I47" s="15">
        <v>179</v>
      </c>
      <c r="J47" s="15" t="s">
        <v>83</v>
      </c>
      <c r="K47" s="15" t="s">
        <v>84</v>
      </c>
      <c r="L47" s="15" t="s">
        <v>85</v>
      </c>
      <c r="M47" s="15" t="s">
        <v>113</v>
      </c>
      <c r="N47" s="15">
        <v>0</v>
      </c>
      <c r="O47" s="15">
        <v>0</v>
      </c>
      <c r="P47" s="15">
        <v>25</v>
      </c>
      <c r="Q47" s="15">
        <v>0</v>
      </c>
      <c r="R47" s="15">
        <v>0</v>
      </c>
      <c r="S47" s="15">
        <v>0</v>
      </c>
      <c r="T47" s="15">
        <v>2</v>
      </c>
      <c r="U47" s="15">
        <v>0</v>
      </c>
      <c r="V47" s="15">
        <v>0</v>
      </c>
      <c r="W47" s="15">
        <v>1</v>
      </c>
      <c r="X47" s="15">
        <v>0</v>
      </c>
      <c r="Y47" s="15">
        <v>3</v>
      </c>
      <c r="Z47" s="15">
        <v>0</v>
      </c>
      <c r="AA47" s="15">
        <v>0</v>
      </c>
      <c r="AB47" s="15">
        <v>0</v>
      </c>
      <c r="AC47" s="15">
        <v>1</v>
      </c>
      <c r="AD47" s="15">
        <v>0</v>
      </c>
      <c r="AE47" s="15">
        <v>3</v>
      </c>
      <c r="AF47" s="15">
        <v>0</v>
      </c>
      <c r="AG47" s="15">
        <v>0</v>
      </c>
      <c r="AH47" s="15">
        <v>7</v>
      </c>
      <c r="AI47" s="15">
        <v>2</v>
      </c>
      <c r="AJ47" s="15">
        <v>0</v>
      </c>
      <c r="AK47" s="15">
        <v>0</v>
      </c>
      <c r="AL47" s="15">
        <v>1</v>
      </c>
      <c r="AM47" s="15">
        <v>3</v>
      </c>
      <c r="AN47" s="15">
        <v>2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1</v>
      </c>
      <c r="BA47" s="15">
        <v>0</v>
      </c>
      <c r="BB47" s="15">
        <v>0</v>
      </c>
      <c r="BC47" s="15">
        <v>0</v>
      </c>
      <c r="BD47" s="15">
        <v>0</v>
      </c>
      <c r="BE47" s="15">
        <v>1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</row>
    <row r="48" spans="1:72" x14ac:dyDescent="0.2">
      <c r="A48" s="15" t="s">
        <v>114</v>
      </c>
      <c r="B48" t="s">
        <v>136</v>
      </c>
      <c r="C48" s="15" t="s">
        <v>73</v>
      </c>
      <c r="D48" s="15">
        <v>6</v>
      </c>
      <c r="E48" s="15">
        <v>3</v>
      </c>
      <c r="F48" s="15">
        <v>18</v>
      </c>
      <c r="G48" s="15">
        <v>94</v>
      </c>
      <c r="H48" s="15">
        <v>15</v>
      </c>
      <c r="I48" s="15">
        <v>182</v>
      </c>
      <c r="J48" s="15" t="s">
        <v>83</v>
      </c>
      <c r="K48" s="15" t="s">
        <v>85</v>
      </c>
      <c r="L48" s="15" t="s">
        <v>85</v>
      </c>
      <c r="M48" s="15" t="s">
        <v>115</v>
      </c>
      <c r="N48" s="15">
        <v>0</v>
      </c>
      <c r="O48" s="15">
        <v>0</v>
      </c>
      <c r="P48" s="15">
        <v>27</v>
      </c>
      <c r="Q48" s="15">
        <v>0</v>
      </c>
      <c r="R48" s="15">
        <v>0</v>
      </c>
      <c r="S48" s="15">
        <v>1</v>
      </c>
      <c r="T48" s="15">
        <v>0</v>
      </c>
      <c r="U48" s="15">
        <v>0</v>
      </c>
      <c r="V48" s="15">
        <v>4</v>
      </c>
      <c r="W48" s="15">
        <v>16</v>
      </c>
      <c r="X48" s="15">
        <v>0</v>
      </c>
      <c r="Y48" s="15">
        <v>3</v>
      </c>
      <c r="Z48" s="15">
        <v>3</v>
      </c>
      <c r="AA48" s="15">
        <v>0</v>
      </c>
      <c r="AB48" s="15">
        <v>0</v>
      </c>
      <c r="AC48" s="15">
        <v>1</v>
      </c>
      <c r="AD48" s="15">
        <v>0</v>
      </c>
      <c r="AE48" s="15">
        <v>5</v>
      </c>
      <c r="AF48" s="15">
        <v>0</v>
      </c>
      <c r="AG48" s="15">
        <v>0</v>
      </c>
      <c r="AH48" s="15">
        <v>5</v>
      </c>
      <c r="AI48" s="15">
        <v>3</v>
      </c>
      <c r="AJ48" s="15">
        <v>0</v>
      </c>
      <c r="AK48" s="15">
        <v>0</v>
      </c>
      <c r="AL48" s="15">
        <v>0</v>
      </c>
      <c r="AM48" s="15">
        <v>0</v>
      </c>
      <c r="AN48" s="15">
        <v>6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4</v>
      </c>
      <c r="AU48" s="15">
        <v>5</v>
      </c>
      <c r="AV48" s="15">
        <v>0</v>
      </c>
      <c r="AW48" s="15">
        <v>0</v>
      </c>
      <c r="AX48" s="15">
        <v>0</v>
      </c>
      <c r="AY48" s="15">
        <v>0</v>
      </c>
      <c r="AZ48" s="15">
        <v>9</v>
      </c>
      <c r="BA48" s="15">
        <v>0</v>
      </c>
      <c r="BB48" s="15">
        <v>0</v>
      </c>
      <c r="BC48" s="15">
        <v>0</v>
      </c>
      <c r="BD48" s="15">
        <v>0</v>
      </c>
      <c r="BE48" s="15">
        <v>2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</row>
    <row r="49" spans="1:72" x14ac:dyDescent="0.2">
      <c r="A49" s="15" t="s">
        <v>116</v>
      </c>
      <c r="B49" t="s">
        <v>136</v>
      </c>
      <c r="C49" s="15" t="s">
        <v>96</v>
      </c>
      <c r="D49" s="15">
        <v>4</v>
      </c>
      <c r="E49" s="15">
        <v>2</v>
      </c>
      <c r="F49" s="15">
        <v>8</v>
      </c>
      <c r="G49" s="15">
        <v>72</v>
      </c>
      <c r="H49" s="15">
        <v>14</v>
      </c>
      <c r="I49" s="15">
        <v>165</v>
      </c>
      <c r="J49" s="15" t="s">
        <v>83</v>
      </c>
      <c r="K49" s="15" t="s">
        <v>76</v>
      </c>
      <c r="L49" s="15" t="s">
        <v>84</v>
      </c>
      <c r="M49" s="15" t="s">
        <v>86</v>
      </c>
      <c r="N49" s="15">
        <v>0</v>
      </c>
      <c r="O49" s="15">
        <v>0</v>
      </c>
      <c r="P49" s="15">
        <v>36</v>
      </c>
      <c r="Q49" s="15">
        <v>0</v>
      </c>
      <c r="R49" s="15">
        <v>0</v>
      </c>
      <c r="S49" s="15">
        <v>1</v>
      </c>
      <c r="T49" s="15">
        <v>1</v>
      </c>
      <c r="U49" s="15">
        <v>0</v>
      </c>
      <c r="V49" s="15">
        <v>1</v>
      </c>
      <c r="W49" s="15">
        <v>15</v>
      </c>
      <c r="X49" s="15">
        <v>1</v>
      </c>
      <c r="Y49" s="15">
        <v>0</v>
      </c>
      <c r="Z49" s="15">
        <v>2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2</v>
      </c>
      <c r="AJ49" s="15">
        <v>0</v>
      </c>
      <c r="AK49" s="15">
        <v>0</v>
      </c>
      <c r="AL49" s="15">
        <v>2</v>
      </c>
      <c r="AM49" s="15">
        <v>1</v>
      </c>
      <c r="AN49" s="15">
        <v>2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1</v>
      </c>
      <c r="AV49" s="15">
        <v>0</v>
      </c>
      <c r="AW49" s="15">
        <v>0</v>
      </c>
      <c r="AX49" s="15">
        <v>0</v>
      </c>
      <c r="AY49" s="15">
        <v>0</v>
      </c>
      <c r="AZ49" s="15">
        <v>5</v>
      </c>
      <c r="BA49" s="15">
        <v>0</v>
      </c>
      <c r="BB49" s="15">
        <v>0</v>
      </c>
      <c r="BC49" s="15">
        <v>0</v>
      </c>
      <c r="BD49" s="15">
        <v>0</v>
      </c>
      <c r="BE49" s="15">
        <v>2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</row>
    <row r="50" spans="1:72" x14ac:dyDescent="0.2">
      <c r="A50" s="15" t="s">
        <v>117</v>
      </c>
      <c r="B50" t="s">
        <v>136</v>
      </c>
      <c r="C50" s="15" t="s">
        <v>79</v>
      </c>
      <c r="D50" s="15">
        <v>8</v>
      </c>
      <c r="E50" s="15">
        <v>3</v>
      </c>
      <c r="F50" s="15">
        <v>24</v>
      </c>
      <c r="G50" s="15">
        <v>67</v>
      </c>
      <c r="H50" s="15">
        <v>17</v>
      </c>
      <c r="I50" s="15">
        <v>314</v>
      </c>
      <c r="J50" s="15" t="s">
        <v>103</v>
      </c>
      <c r="K50" s="15" t="s">
        <v>118</v>
      </c>
      <c r="L50" s="15" t="s">
        <v>75</v>
      </c>
      <c r="M50" s="15" t="s">
        <v>86</v>
      </c>
      <c r="N50" s="15">
        <v>0</v>
      </c>
      <c r="O50" s="15">
        <v>0</v>
      </c>
      <c r="P50" s="15">
        <v>22</v>
      </c>
      <c r="Q50" s="15">
        <v>0</v>
      </c>
      <c r="R50" s="15">
        <v>0</v>
      </c>
      <c r="S50" s="15">
        <v>0</v>
      </c>
      <c r="T50" s="15">
        <v>4</v>
      </c>
      <c r="U50" s="15">
        <v>0</v>
      </c>
      <c r="V50" s="15">
        <v>2</v>
      </c>
      <c r="W50" s="15">
        <v>3</v>
      </c>
      <c r="X50" s="15">
        <v>0</v>
      </c>
      <c r="Y50" s="15">
        <v>7</v>
      </c>
      <c r="Z50" s="15">
        <v>0</v>
      </c>
      <c r="AA50" s="15">
        <v>0</v>
      </c>
      <c r="AB50" s="15">
        <v>0</v>
      </c>
      <c r="AC50" s="15">
        <v>3</v>
      </c>
      <c r="AD50" s="15">
        <v>0</v>
      </c>
      <c r="AE50" s="15">
        <v>5</v>
      </c>
      <c r="AF50" s="15">
        <v>1</v>
      </c>
      <c r="AG50" s="15">
        <v>0</v>
      </c>
      <c r="AH50" s="15">
        <v>5</v>
      </c>
      <c r="AI50" s="15">
        <v>0</v>
      </c>
      <c r="AJ50" s="15">
        <v>1</v>
      </c>
      <c r="AK50" s="15">
        <v>0</v>
      </c>
      <c r="AL50" s="15">
        <v>2</v>
      </c>
      <c r="AM50" s="15">
        <v>0</v>
      </c>
      <c r="AN50" s="15">
        <v>2</v>
      </c>
      <c r="AO50" s="15">
        <v>0</v>
      </c>
      <c r="AP50" s="15">
        <v>0</v>
      </c>
      <c r="AQ50" s="15">
        <v>0</v>
      </c>
      <c r="AR50" s="15">
        <v>0</v>
      </c>
      <c r="AS50" s="15">
        <v>3</v>
      </c>
      <c r="AT50" s="15">
        <v>0</v>
      </c>
      <c r="AU50" s="15">
        <v>3</v>
      </c>
      <c r="AV50" s="15">
        <v>1</v>
      </c>
      <c r="AW50" s="15">
        <v>0</v>
      </c>
      <c r="AX50" s="15">
        <v>1</v>
      </c>
      <c r="AY50" s="15">
        <v>0</v>
      </c>
      <c r="AZ50" s="15">
        <v>2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</row>
    <row r="51" spans="1:72" x14ac:dyDescent="0.2">
      <c r="A51" s="15" t="s">
        <v>119</v>
      </c>
      <c r="B51" t="s">
        <v>136</v>
      </c>
      <c r="C51" s="15" t="s">
        <v>79</v>
      </c>
      <c r="D51" s="15">
        <v>8</v>
      </c>
      <c r="E51" s="15">
        <v>3</v>
      </c>
      <c r="F51" s="15">
        <v>24</v>
      </c>
      <c r="G51" s="15">
        <v>41</v>
      </c>
      <c r="H51" s="15">
        <v>9</v>
      </c>
      <c r="I51" s="15">
        <v>211</v>
      </c>
      <c r="J51" s="15" t="s">
        <v>74</v>
      </c>
      <c r="K51" s="15" t="s">
        <v>118</v>
      </c>
      <c r="L51" s="15" t="s">
        <v>89</v>
      </c>
      <c r="M51" s="15" t="s">
        <v>115</v>
      </c>
      <c r="N51" s="15">
        <v>0</v>
      </c>
      <c r="O51" s="15">
        <v>0</v>
      </c>
      <c r="P51" s="15">
        <v>20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3</v>
      </c>
      <c r="W51" s="15">
        <v>4</v>
      </c>
      <c r="X51" s="15">
        <v>0</v>
      </c>
      <c r="Y51" s="15">
        <v>3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3</v>
      </c>
      <c r="AF51" s="15">
        <v>0</v>
      </c>
      <c r="AG51" s="15">
        <v>0</v>
      </c>
      <c r="AH51" s="15">
        <v>0</v>
      </c>
      <c r="AI51" s="15">
        <v>0</v>
      </c>
      <c r="AJ51" s="15">
        <v>1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3</v>
      </c>
      <c r="AU51" s="15">
        <v>3</v>
      </c>
      <c r="AV51" s="15">
        <v>1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</row>
    <row r="52" spans="1:72" x14ac:dyDescent="0.2">
      <c r="A52" s="15" t="s">
        <v>120</v>
      </c>
      <c r="B52" t="s">
        <v>136</v>
      </c>
      <c r="C52" s="15" t="s">
        <v>79</v>
      </c>
      <c r="D52" s="15">
        <v>8</v>
      </c>
      <c r="E52" s="15">
        <v>2</v>
      </c>
      <c r="F52" s="15">
        <v>16</v>
      </c>
      <c r="G52" s="15">
        <v>45</v>
      </c>
      <c r="H52" s="15">
        <v>11</v>
      </c>
      <c r="I52" s="15">
        <v>174</v>
      </c>
      <c r="J52" s="15" t="s">
        <v>83</v>
      </c>
      <c r="K52" s="15" t="s">
        <v>89</v>
      </c>
      <c r="L52" s="15" t="s">
        <v>85</v>
      </c>
      <c r="M52" s="15" t="s">
        <v>121</v>
      </c>
      <c r="N52" s="15">
        <v>0</v>
      </c>
      <c r="O52" s="15">
        <v>0</v>
      </c>
      <c r="P52" s="15">
        <v>21</v>
      </c>
      <c r="Q52" s="15">
        <v>0</v>
      </c>
      <c r="R52" s="15">
        <v>0</v>
      </c>
      <c r="S52" s="15">
        <v>0</v>
      </c>
      <c r="T52" s="15">
        <v>1</v>
      </c>
      <c r="U52" s="15">
        <v>0</v>
      </c>
      <c r="V52" s="15">
        <v>1</v>
      </c>
      <c r="W52" s="15">
        <v>3</v>
      </c>
      <c r="X52" s="15">
        <v>1</v>
      </c>
      <c r="Y52" s="15">
        <v>7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5</v>
      </c>
      <c r="AF52" s="15">
        <v>0</v>
      </c>
      <c r="AG52" s="15">
        <v>0</v>
      </c>
      <c r="AH52" s="15">
        <v>2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1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1</v>
      </c>
      <c r="AV52" s="15">
        <v>0</v>
      </c>
      <c r="AW52" s="15">
        <v>0</v>
      </c>
      <c r="AX52" s="15">
        <v>0</v>
      </c>
      <c r="AY52" s="15">
        <v>0</v>
      </c>
      <c r="AZ52" s="15">
        <v>2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</row>
    <row r="53" spans="1:72" x14ac:dyDescent="0.2">
      <c r="A53" s="15" t="s">
        <v>122</v>
      </c>
      <c r="B53" t="s">
        <v>136</v>
      </c>
      <c r="C53" s="15" t="s">
        <v>73</v>
      </c>
      <c r="D53" s="15">
        <v>6</v>
      </c>
      <c r="E53" s="15">
        <v>3</v>
      </c>
      <c r="F53" s="15">
        <v>18</v>
      </c>
      <c r="G53" s="15">
        <v>28</v>
      </c>
      <c r="H53" s="15">
        <v>11</v>
      </c>
      <c r="I53" s="15">
        <v>350</v>
      </c>
      <c r="J53" s="15" t="s">
        <v>97</v>
      </c>
      <c r="K53" s="15" t="s">
        <v>89</v>
      </c>
      <c r="L53" s="15" t="s">
        <v>85</v>
      </c>
      <c r="M53" s="15" t="s">
        <v>121</v>
      </c>
      <c r="N53" s="15">
        <v>0</v>
      </c>
      <c r="O53" s="15">
        <v>0</v>
      </c>
      <c r="P53" s="15">
        <v>9</v>
      </c>
      <c r="Q53" s="15">
        <v>0</v>
      </c>
      <c r="R53" s="15">
        <v>0</v>
      </c>
      <c r="S53" s="15">
        <v>0</v>
      </c>
      <c r="T53" s="15">
        <v>1</v>
      </c>
      <c r="U53" s="15">
        <v>0</v>
      </c>
      <c r="V53" s="15">
        <v>0</v>
      </c>
      <c r="W53" s="15">
        <v>1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1</v>
      </c>
      <c r="AD53" s="15">
        <v>0</v>
      </c>
      <c r="AE53" s="15">
        <v>0</v>
      </c>
      <c r="AF53" s="15">
        <v>0</v>
      </c>
      <c r="AG53" s="15">
        <v>0</v>
      </c>
      <c r="AH53" s="15">
        <v>3</v>
      </c>
      <c r="AI53" s="15">
        <v>1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2</v>
      </c>
      <c r="AU53" s="15">
        <v>7</v>
      </c>
      <c r="AV53" s="15">
        <v>0</v>
      </c>
      <c r="AW53" s="15">
        <v>0</v>
      </c>
      <c r="AX53" s="15">
        <v>1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1</v>
      </c>
      <c r="BF53" s="15">
        <v>0</v>
      </c>
      <c r="BG53" s="15">
        <v>0</v>
      </c>
      <c r="BH53" s="15">
        <v>0</v>
      </c>
      <c r="BI53" s="15">
        <v>0</v>
      </c>
      <c r="BJ53" s="15">
        <v>1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</row>
    <row r="54" spans="1:72" x14ac:dyDescent="0.2">
      <c r="A54" s="15" t="s">
        <v>123</v>
      </c>
      <c r="B54" t="s">
        <v>136</v>
      </c>
      <c r="C54" s="15" t="s">
        <v>73</v>
      </c>
      <c r="D54" s="15">
        <v>6</v>
      </c>
      <c r="E54" s="15">
        <v>3</v>
      </c>
      <c r="F54" s="15">
        <v>18</v>
      </c>
      <c r="G54" s="15">
        <v>60</v>
      </c>
      <c r="H54" s="15">
        <v>13</v>
      </c>
      <c r="I54" s="15">
        <v>161</v>
      </c>
      <c r="J54" s="15" t="s">
        <v>124</v>
      </c>
      <c r="K54" s="15" t="s">
        <v>76</v>
      </c>
      <c r="L54" s="15" t="s">
        <v>85</v>
      </c>
      <c r="M54" s="15" t="s">
        <v>121</v>
      </c>
      <c r="N54" s="15">
        <v>0</v>
      </c>
      <c r="O54" s="15">
        <v>0</v>
      </c>
      <c r="P54" s="15">
        <v>26</v>
      </c>
      <c r="Q54" s="15">
        <v>0</v>
      </c>
      <c r="R54" s="15">
        <v>2</v>
      </c>
      <c r="S54" s="15">
        <v>0</v>
      </c>
      <c r="T54" s="15">
        <v>0</v>
      </c>
      <c r="U54" s="15">
        <v>0</v>
      </c>
      <c r="V54" s="15">
        <v>1</v>
      </c>
      <c r="W54" s="15">
        <v>0</v>
      </c>
      <c r="X54" s="15">
        <v>1</v>
      </c>
      <c r="Y54" s="15">
        <v>5</v>
      </c>
      <c r="Z54" s="15">
        <v>0</v>
      </c>
      <c r="AA54" s="15">
        <v>0</v>
      </c>
      <c r="AB54" s="15">
        <v>0</v>
      </c>
      <c r="AC54" s="15">
        <v>2</v>
      </c>
      <c r="AD54" s="15">
        <v>0</v>
      </c>
      <c r="AE54" s="15">
        <v>4</v>
      </c>
      <c r="AF54" s="15">
        <v>0</v>
      </c>
      <c r="AG54" s="15">
        <v>0</v>
      </c>
      <c r="AH54" s="15">
        <v>2</v>
      </c>
      <c r="AI54" s="15">
        <v>0</v>
      </c>
      <c r="AJ54" s="15">
        <v>0</v>
      </c>
      <c r="AK54" s="15">
        <v>0</v>
      </c>
      <c r="AL54" s="15">
        <v>2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2</v>
      </c>
      <c r="AU54" s="15">
        <v>9</v>
      </c>
      <c r="AV54" s="15">
        <v>0</v>
      </c>
      <c r="AW54" s="15">
        <v>0</v>
      </c>
      <c r="AX54" s="15">
        <v>3</v>
      </c>
      <c r="AY54" s="15">
        <v>0</v>
      </c>
      <c r="AZ54" s="15">
        <v>1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</row>
    <row r="55" spans="1:72" x14ac:dyDescent="0.2">
      <c r="A55" s="15" t="s">
        <v>125</v>
      </c>
      <c r="B55" t="s">
        <v>136</v>
      </c>
      <c r="C55" s="15" t="s">
        <v>79</v>
      </c>
      <c r="D55" s="15">
        <v>8</v>
      </c>
      <c r="E55" s="15">
        <v>3</v>
      </c>
      <c r="F55" s="15">
        <v>24</v>
      </c>
      <c r="G55" s="15">
        <v>44</v>
      </c>
      <c r="H55" s="15">
        <v>13</v>
      </c>
      <c r="I55" s="15">
        <v>287</v>
      </c>
      <c r="J55" s="15" t="s">
        <v>92</v>
      </c>
      <c r="K55" s="15" t="s">
        <v>81</v>
      </c>
      <c r="L55" s="15" t="s">
        <v>89</v>
      </c>
      <c r="M55" s="15" t="s">
        <v>121</v>
      </c>
      <c r="N55" s="15">
        <v>0</v>
      </c>
      <c r="O55" s="15">
        <v>0</v>
      </c>
      <c r="P55" s="15">
        <v>23</v>
      </c>
      <c r="Q55" s="15">
        <v>0</v>
      </c>
      <c r="R55" s="15">
        <v>0</v>
      </c>
      <c r="S55" s="15">
        <v>0</v>
      </c>
      <c r="T55" s="15">
        <v>2</v>
      </c>
      <c r="U55" s="15">
        <v>0</v>
      </c>
      <c r="V55" s="15">
        <v>3</v>
      </c>
      <c r="W55" s="15">
        <v>3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3</v>
      </c>
      <c r="AF55" s="15">
        <v>0</v>
      </c>
      <c r="AG55" s="15">
        <v>0</v>
      </c>
      <c r="AH55" s="15">
        <v>2</v>
      </c>
      <c r="AI55" s="15">
        <v>2</v>
      </c>
      <c r="AJ55" s="15">
        <v>1</v>
      </c>
      <c r="AK55" s="15">
        <v>0</v>
      </c>
      <c r="AL55" s="15">
        <v>1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1</v>
      </c>
      <c r="AV55" s="15">
        <v>1</v>
      </c>
      <c r="AW55" s="15">
        <v>0</v>
      </c>
      <c r="AX55" s="15">
        <v>0</v>
      </c>
      <c r="AY55" s="15">
        <v>0</v>
      </c>
      <c r="AZ55" s="15">
        <v>1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1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</row>
    <row r="56" spans="1:72" x14ac:dyDescent="0.2">
      <c r="A56" s="15" t="s">
        <v>126</v>
      </c>
      <c r="B56" t="s">
        <v>136</v>
      </c>
      <c r="C56" s="15" t="s">
        <v>79</v>
      </c>
      <c r="D56" s="15">
        <v>8</v>
      </c>
      <c r="E56" s="15">
        <v>3</v>
      </c>
      <c r="F56" s="15">
        <v>24</v>
      </c>
      <c r="G56" s="15">
        <v>67</v>
      </c>
      <c r="H56" s="15">
        <v>13</v>
      </c>
      <c r="I56" s="15">
        <v>117</v>
      </c>
      <c r="J56" s="15" t="s">
        <v>80</v>
      </c>
      <c r="K56" s="15" t="s">
        <v>81</v>
      </c>
      <c r="L56" s="15" t="s">
        <v>89</v>
      </c>
      <c r="M56" s="15" t="s">
        <v>113</v>
      </c>
      <c r="N56" s="15">
        <v>0</v>
      </c>
      <c r="O56" s="15">
        <v>0</v>
      </c>
      <c r="P56" s="15">
        <v>38</v>
      </c>
      <c r="Q56" s="15">
        <v>1</v>
      </c>
      <c r="R56" s="15">
        <v>0</v>
      </c>
      <c r="S56" s="15">
        <v>0</v>
      </c>
      <c r="T56" s="15">
        <v>1</v>
      </c>
      <c r="U56" s="15">
        <v>1</v>
      </c>
      <c r="V56" s="15">
        <v>5</v>
      </c>
      <c r="W56" s="15">
        <v>4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2</v>
      </c>
      <c r="AF56" s="15">
        <v>0</v>
      </c>
      <c r="AG56" s="15">
        <v>0</v>
      </c>
      <c r="AH56" s="15">
        <v>5</v>
      </c>
      <c r="AI56" s="15">
        <v>5</v>
      </c>
      <c r="AJ56" s="15">
        <v>0</v>
      </c>
      <c r="AK56" s="15">
        <v>0</v>
      </c>
      <c r="AL56" s="15">
        <v>1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2</v>
      </c>
      <c r="AU56" s="15">
        <v>0</v>
      </c>
      <c r="AV56" s="15">
        <v>1</v>
      </c>
      <c r="AW56" s="15">
        <v>0</v>
      </c>
      <c r="AX56" s="15">
        <v>1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</row>
    <row r="57" spans="1:72" x14ac:dyDescent="0.2">
      <c r="A57" s="15" t="s">
        <v>127</v>
      </c>
      <c r="B57" t="s">
        <v>136</v>
      </c>
      <c r="C57" s="15" t="s">
        <v>79</v>
      </c>
      <c r="D57" s="15">
        <v>8</v>
      </c>
      <c r="E57" s="15">
        <v>3</v>
      </c>
      <c r="F57" s="15">
        <v>24</v>
      </c>
      <c r="G57" s="15">
        <v>85</v>
      </c>
      <c r="H57" s="15">
        <v>17</v>
      </c>
      <c r="I57" s="15">
        <v>102</v>
      </c>
      <c r="J57" s="15" t="s">
        <v>88</v>
      </c>
      <c r="K57" s="15" t="s">
        <v>89</v>
      </c>
      <c r="L57" s="15" t="s">
        <v>75</v>
      </c>
      <c r="M57" s="15" t="s">
        <v>113</v>
      </c>
      <c r="N57" s="15">
        <v>0</v>
      </c>
      <c r="O57" s="15">
        <v>0</v>
      </c>
      <c r="P57" s="15">
        <v>30</v>
      </c>
      <c r="Q57" s="15">
        <v>1</v>
      </c>
      <c r="R57" s="15">
        <v>0</v>
      </c>
      <c r="S57" s="15">
        <v>0</v>
      </c>
      <c r="T57" s="15">
        <v>8</v>
      </c>
      <c r="U57" s="15">
        <v>0</v>
      </c>
      <c r="V57" s="15">
        <v>3</v>
      </c>
      <c r="W57" s="15">
        <v>11</v>
      </c>
      <c r="X57" s="15">
        <v>0</v>
      </c>
      <c r="Y57" s="15">
        <v>0</v>
      </c>
      <c r="Z57" s="15">
        <v>5</v>
      </c>
      <c r="AA57" s="15">
        <v>0</v>
      </c>
      <c r="AB57" s="15">
        <v>0</v>
      </c>
      <c r="AC57" s="15">
        <v>0</v>
      </c>
      <c r="AD57" s="15">
        <v>0</v>
      </c>
      <c r="AE57" s="15">
        <v>4</v>
      </c>
      <c r="AF57" s="15">
        <v>0</v>
      </c>
      <c r="AG57" s="15">
        <v>0</v>
      </c>
      <c r="AH57" s="15">
        <v>3</v>
      </c>
      <c r="AI57" s="15">
        <v>0</v>
      </c>
      <c r="AJ57" s="15">
        <v>1</v>
      </c>
      <c r="AK57" s="15">
        <v>0</v>
      </c>
      <c r="AL57" s="15">
        <v>2</v>
      </c>
      <c r="AM57" s="15">
        <v>0</v>
      </c>
      <c r="AN57" s="15">
        <v>4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1</v>
      </c>
      <c r="AU57" s="15">
        <v>3</v>
      </c>
      <c r="AV57" s="15">
        <v>0</v>
      </c>
      <c r="AW57" s="15">
        <v>0</v>
      </c>
      <c r="AX57" s="15">
        <v>2</v>
      </c>
      <c r="AY57" s="15">
        <v>0</v>
      </c>
      <c r="AZ57" s="15">
        <v>4</v>
      </c>
      <c r="BA57" s="15">
        <v>0</v>
      </c>
      <c r="BB57" s="15">
        <v>0</v>
      </c>
      <c r="BC57" s="15">
        <v>0</v>
      </c>
      <c r="BD57" s="15">
        <v>0</v>
      </c>
      <c r="BE57" s="15">
        <v>2</v>
      </c>
      <c r="BF57" s="15">
        <v>1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</row>
    <row r="58" spans="1:72" x14ac:dyDescent="0.2">
      <c r="A58" s="15" t="s">
        <v>128</v>
      </c>
      <c r="B58" t="s">
        <v>136</v>
      </c>
      <c r="C58" s="15" t="s">
        <v>79</v>
      </c>
      <c r="D58" s="15">
        <v>8</v>
      </c>
      <c r="E58" s="15">
        <v>3</v>
      </c>
      <c r="F58" s="15">
        <v>24</v>
      </c>
      <c r="G58" s="15">
        <v>56</v>
      </c>
      <c r="H58" s="15">
        <v>15</v>
      </c>
      <c r="I58" s="15">
        <v>98</v>
      </c>
      <c r="J58" s="15" t="s">
        <v>88</v>
      </c>
      <c r="K58" s="15" t="s">
        <v>75</v>
      </c>
      <c r="L58" s="15" t="s">
        <v>75</v>
      </c>
      <c r="M58" s="15" t="s">
        <v>113</v>
      </c>
      <c r="N58" s="15">
        <v>0</v>
      </c>
      <c r="O58" s="15">
        <v>0</v>
      </c>
      <c r="P58" s="15">
        <v>23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2</v>
      </c>
      <c r="W58" s="15">
        <v>6</v>
      </c>
      <c r="X58" s="15">
        <v>0</v>
      </c>
      <c r="Y58" s="15">
        <v>0</v>
      </c>
      <c r="Z58" s="15">
        <v>3</v>
      </c>
      <c r="AA58" s="15">
        <v>0</v>
      </c>
      <c r="AB58" s="15">
        <v>0</v>
      </c>
      <c r="AC58" s="15">
        <v>1</v>
      </c>
      <c r="AD58" s="15">
        <v>0</v>
      </c>
      <c r="AE58" s="15">
        <v>5</v>
      </c>
      <c r="AF58" s="15">
        <v>0</v>
      </c>
      <c r="AG58" s="15">
        <v>1</v>
      </c>
      <c r="AH58" s="15">
        <v>3</v>
      </c>
      <c r="AI58" s="15">
        <v>0</v>
      </c>
      <c r="AJ58" s="15">
        <v>1</v>
      </c>
      <c r="AK58" s="15">
        <v>0</v>
      </c>
      <c r="AL58" s="15">
        <v>4</v>
      </c>
      <c r="AM58" s="15">
        <v>2</v>
      </c>
      <c r="AN58" s="15">
        <v>1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1</v>
      </c>
      <c r="AU58" s="15">
        <v>0</v>
      </c>
      <c r="AV58" s="15">
        <v>0</v>
      </c>
      <c r="AW58" s="15">
        <v>0</v>
      </c>
      <c r="AX58" s="15">
        <v>1</v>
      </c>
      <c r="AY58" s="15">
        <v>0</v>
      </c>
      <c r="AZ58" s="15">
        <v>2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</row>
    <row r="59" spans="1:72" x14ac:dyDescent="0.2">
      <c r="A59" s="15" t="s">
        <v>129</v>
      </c>
      <c r="B59" t="s">
        <v>136</v>
      </c>
      <c r="C59" s="15" t="s">
        <v>79</v>
      </c>
      <c r="D59" s="15">
        <v>8</v>
      </c>
      <c r="E59" s="15">
        <v>2</v>
      </c>
      <c r="F59" s="15">
        <v>16</v>
      </c>
      <c r="G59" s="15">
        <v>48</v>
      </c>
      <c r="H59" s="15">
        <v>15</v>
      </c>
      <c r="I59" s="15">
        <v>285</v>
      </c>
      <c r="J59" s="15" t="s">
        <v>92</v>
      </c>
      <c r="K59" s="15" t="s">
        <v>75</v>
      </c>
      <c r="L59" s="15" t="s">
        <v>89</v>
      </c>
      <c r="M59" s="15" t="s">
        <v>113</v>
      </c>
      <c r="N59" s="15">
        <v>0</v>
      </c>
      <c r="O59" s="15">
        <v>0</v>
      </c>
      <c r="P59" s="15">
        <v>21</v>
      </c>
      <c r="Q59" s="15">
        <v>0</v>
      </c>
      <c r="R59" s="15">
        <v>0</v>
      </c>
      <c r="S59" s="15">
        <v>0</v>
      </c>
      <c r="T59" s="15">
        <v>1</v>
      </c>
      <c r="U59" s="15">
        <v>0</v>
      </c>
      <c r="V59" s="15">
        <v>4</v>
      </c>
      <c r="W59" s="15">
        <v>6</v>
      </c>
      <c r="X59" s="15">
        <v>0</v>
      </c>
      <c r="Y59" s="15">
        <v>0</v>
      </c>
      <c r="Z59" s="15">
        <v>1</v>
      </c>
      <c r="AA59" s="15">
        <v>0</v>
      </c>
      <c r="AB59" s="15">
        <v>0</v>
      </c>
      <c r="AC59" s="15">
        <v>2</v>
      </c>
      <c r="AD59" s="15">
        <v>0</v>
      </c>
      <c r="AE59" s="15">
        <v>1</v>
      </c>
      <c r="AF59" s="15">
        <v>1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2</v>
      </c>
      <c r="AM59" s="15">
        <v>1</v>
      </c>
      <c r="AN59" s="15">
        <v>1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4</v>
      </c>
      <c r="AU59" s="15">
        <v>1</v>
      </c>
      <c r="AV59" s="15">
        <v>1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1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</row>
    <row r="60" spans="1:72" x14ac:dyDescent="0.2">
      <c r="A60" s="15" t="s">
        <v>130</v>
      </c>
      <c r="B60" t="s">
        <v>136</v>
      </c>
      <c r="C60" s="15" t="s">
        <v>73</v>
      </c>
      <c r="D60" s="15">
        <v>6</v>
      </c>
      <c r="E60" s="15">
        <v>3</v>
      </c>
      <c r="F60" s="15">
        <v>18</v>
      </c>
      <c r="G60" s="15">
        <v>53</v>
      </c>
      <c r="H60" s="15">
        <v>16</v>
      </c>
      <c r="I60" s="15">
        <v>274</v>
      </c>
      <c r="J60" s="15" t="s">
        <v>92</v>
      </c>
      <c r="K60" s="15" t="s">
        <v>76</v>
      </c>
      <c r="L60" s="15" t="s">
        <v>89</v>
      </c>
      <c r="M60" s="15" t="s">
        <v>113</v>
      </c>
      <c r="N60" s="15">
        <v>1</v>
      </c>
      <c r="O60" s="15">
        <v>0</v>
      </c>
      <c r="P60" s="15">
        <v>30</v>
      </c>
      <c r="Q60" s="15">
        <v>0</v>
      </c>
      <c r="R60" s="15">
        <v>0</v>
      </c>
      <c r="S60" s="15">
        <v>0</v>
      </c>
      <c r="T60" s="15">
        <v>1</v>
      </c>
      <c r="U60" s="15">
        <v>0</v>
      </c>
      <c r="V60" s="15">
        <v>1</v>
      </c>
      <c r="W60" s="15">
        <v>2</v>
      </c>
      <c r="X60" s="15">
        <v>0</v>
      </c>
      <c r="Y60" s="15">
        <v>2</v>
      </c>
      <c r="Z60" s="15">
        <v>0</v>
      </c>
      <c r="AA60" s="15">
        <v>0</v>
      </c>
      <c r="AB60" s="15">
        <v>0</v>
      </c>
      <c r="AC60" s="15">
        <v>1</v>
      </c>
      <c r="AD60" s="15">
        <v>0</v>
      </c>
      <c r="AE60" s="15">
        <v>1</v>
      </c>
      <c r="AF60" s="15">
        <v>0</v>
      </c>
      <c r="AG60" s="15">
        <v>0</v>
      </c>
      <c r="AH60" s="15">
        <v>2</v>
      </c>
      <c r="AI60" s="15">
        <v>0</v>
      </c>
      <c r="AJ60" s="15">
        <v>1</v>
      </c>
      <c r="AK60" s="15">
        <v>0</v>
      </c>
      <c r="AL60" s="15">
        <v>1</v>
      </c>
      <c r="AM60" s="15">
        <v>4</v>
      </c>
      <c r="AN60" s="15">
        <v>3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1</v>
      </c>
      <c r="AV60" s="15">
        <v>0</v>
      </c>
      <c r="AW60" s="15">
        <v>1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1</v>
      </c>
      <c r="BS60" s="15">
        <v>0</v>
      </c>
      <c r="BT60" s="15">
        <v>0</v>
      </c>
    </row>
    <row r="61" spans="1:72" x14ac:dyDescent="0.2">
      <c r="A61" s="15" t="s">
        <v>131</v>
      </c>
      <c r="B61" t="s">
        <v>136</v>
      </c>
      <c r="C61" s="15" t="s">
        <v>73</v>
      </c>
      <c r="D61" s="15">
        <v>6</v>
      </c>
      <c r="E61" s="15">
        <v>3</v>
      </c>
      <c r="F61" s="15">
        <v>18</v>
      </c>
      <c r="G61" s="15">
        <v>41</v>
      </c>
      <c r="H61" s="15">
        <v>12</v>
      </c>
      <c r="I61" s="15">
        <v>278</v>
      </c>
      <c r="J61" s="15" t="s">
        <v>92</v>
      </c>
      <c r="K61" s="15" t="s">
        <v>76</v>
      </c>
      <c r="L61" s="15" t="s">
        <v>75</v>
      </c>
      <c r="M61" s="15" t="s">
        <v>113</v>
      </c>
      <c r="N61" s="15">
        <v>1</v>
      </c>
      <c r="O61" s="15">
        <v>0</v>
      </c>
      <c r="P61" s="15">
        <v>12</v>
      </c>
      <c r="Q61" s="15">
        <v>0</v>
      </c>
      <c r="R61" s="15">
        <v>0</v>
      </c>
      <c r="S61" s="15">
        <v>0</v>
      </c>
      <c r="T61" s="15">
        <v>1</v>
      </c>
      <c r="U61" s="15">
        <v>0</v>
      </c>
      <c r="V61" s="15">
        <v>0</v>
      </c>
      <c r="W61" s="15">
        <v>1</v>
      </c>
      <c r="X61" s="15">
        <v>1</v>
      </c>
      <c r="Y61" s="15">
        <v>0</v>
      </c>
      <c r="Z61" s="15">
        <v>0</v>
      </c>
      <c r="AA61" s="15">
        <v>0</v>
      </c>
      <c r="AB61" s="15">
        <v>0</v>
      </c>
      <c r="AC61" s="15">
        <v>2</v>
      </c>
      <c r="AD61" s="15">
        <v>0</v>
      </c>
      <c r="AE61" s="15">
        <v>9</v>
      </c>
      <c r="AF61" s="15">
        <v>0</v>
      </c>
      <c r="AG61" s="15">
        <v>0</v>
      </c>
      <c r="AH61" s="15">
        <v>6</v>
      </c>
      <c r="AI61" s="15">
        <v>2</v>
      </c>
      <c r="AJ61" s="15">
        <v>0</v>
      </c>
      <c r="AK61" s="15">
        <v>0</v>
      </c>
      <c r="AL61" s="15">
        <v>0</v>
      </c>
      <c r="AM61" s="15">
        <v>2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2</v>
      </c>
      <c r="AU61" s="15">
        <v>2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</row>
    <row r="62" spans="1:72" x14ac:dyDescent="0.2">
      <c r="A62" s="15" t="s">
        <v>72</v>
      </c>
      <c r="B62" t="s">
        <v>137</v>
      </c>
      <c r="C62" s="15" t="s">
        <v>73</v>
      </c>
      <c r="D62" s="15">
        <v>6</v>
      </c>
      <c r="E62" s="15">
        <v>3</v>
      </c>
      <c r="F62" s="15">
        <v>18</v>
      </c>
      <c r="G62" s="15">
        <v>52</v>
      </c>
      <c r="H62" s="15">
        <v>17</v>
      </c>
      <c r="I62" s="20">
        <v>225</v>
      </c>
      <c r="J62" s="15" t="s">
        <v>74</v>
      </c>
      <c r="K62" s="15" t="s">
        <v>75</v>
      </c>
      <c r="L62" s="15" t="s">
        <v>76</v>
      </c>
      <c r="M62" s="15" t="s">
        <v>77</v>
      </c>
      <c r="N62" s="15">
        <v>1</v>
      </c>
      <c r="O62" s="15">
        <v>0</v>
      </c>
      <c r="P62" s="15">
        <v>21</v>
      </c>
      <c r="Q62" s="15">
        <v>0</v>
      </c>
      <c r="R62" s="15">
        <v>0</v>
      </c>
      <c r="S62" s="15">
        <v>1</v>
      </c>
      <c r="T62" s="15">
        <v>0</v>
      </c>
      <c r="U62" s="15">
        <v>0</v>
      </c>
      <c r="V62" s="15">
        <v>0</v>
      </c>
      <c r="W62" s="15">
        <v>2</v>
      </c>
      <c r="X62" s="15">
        <v>0</v>
      </c>
      <c r="Y62" s="15">
        <v>5</v>
      </c>
      <c r="Z62" s="15">
        <v>0</v>
      </c>
      <c r="AA62" s="15">
        <v>0</v>
      </c>
      <c r="AB62" s="15">
        <v>0</v>
      </c>
      <c r="AC62" s="15">
        <v>3</v>
      </c>
      <c r="AD62" s="15">
        <v>0</v>
      </c>
      <c r="AE62" s="15">
        <v>3</v>
      </c>
      <c r="AF62" s="15">
        <v>0</v>
      </c>
      <c r="AG62" s="15">
        <v>0</v>
      </c>
      <c r="AH62" s="15">
        <v>2</v>
      </c>
      <c r="AI62" s="15">
        <v>0</v>
      </c>
      <c r="AJ62" s="15">
        <v>1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1</v>
      </c>
      <c r="AR62" s="15">
        <v>0</v>
      </c>
      <c r="AS62" s="15">
        <v>1</v>
      </c>
      <c r="AT62" s="15">
        <v>2</v>
      </c>
      <c r="AU62" s="15">
        <v>1</v>
      </c>
      <c r="AV62" s="15">
        <v>2</v>
      </c>
      <c r="AW62" s="15">
        <v>0</v>
      </c>
      <c r="AX62" s="15">
        <v>0</v>
      </c>
      <c r="AY62" s="15">
        <v>0</v>
      </c>
      <c r="AZ62" s="15">
        <v>4</v>
      </c>
      <c r="BA62" s="15">
        <v>0</v>
      </c>
      <c r="BB62" s="15">
        <v>0</v>
      </c>
      <c r="BC62" s="15">
        <v>0</v>
      </c>
      <c r="BD62" s="15">
        <v>0</v>
      </c>
      <c r="BE62" s="15">
        <v>1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1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</row>
    <row r="63" spans="1:72" x14ac:dyDescent="0.2">
      <c r="A63" s="15" t="s">
        <v>78</v>
      </c>
      <c r="B63" t="s">
        <v>137</v>
      </c>
      <c r="C63" s="15" t="s">
        <v>79</v>
      </c>
      <c r="D63" s="15">
        <v>8</v>
      </c>
      <c r="E63" s="15">
        <v>3</v>
      </c>
      <c r="F63" s="15">
        <v>24</v>
      </c>
      <c r="G63" s="15">
        <v>103</v>
      </c>
      <c r="H63" s="15">
        <v>16</v>
      </c>
      <c r="I63" s="15">
        <v>150</v>
      </c>
      <c r="J63" s="15" t="s">
        <v>80</v>
      </c>
      <c r="K63" s="15" t="s">
        <v>81</v>
      </c>
      <c r="L63" s="15" t="s">
        <v>75</v>
      </c>
      <c r="M63" s="15" t="s">
        <v>77</v>
      </c>
      <c r="N63" s="15">
        <v>0</v>
      </c>
      <c r="O63" s="15">
        <v>0</v>
      </c>
      <c r="P63" s="15">
        <v>36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7</v>
      </c>
      <c r="X63" s="15">
        <v>0</v>
      </c>
      <c r="Y63" s="15">
        <v>4</v>
      </c>
      <c r="Z63" s="15">
        <v>1</v>
      </c>
      <c r="AA63" s="15">
        <v>0</v>
      </c>
      <c r="AB63" s="15">
        <v>0</v>
      </c>
      <c r="AC63" s="15">
        <v>2</v>
      </c>
      <c r="AD63" s="15">
        <v>0</v>
      </c>
      <c r="AE63" s="15">
        <v>0</v>
      </c>
      <c r="AF63" s="15">
        <v>0</v>
      </c>
      <c r="AG63" s="15">
        <v>0</v>
      </c>
      <c r="AH63" s="15">
        <v>12</v>
      </c>
      <c r="AI63" s="15">
        <v>2</v>
      </c>
      <c r="AJ63" s="15">
        <v>0</v>
      </c>
      <c r="AK63" s="15">
        <v>0</v>
      </c>
      <c r="AL63" s="15">
        <v>0</v>
      </c>
      <c r="AM63" s="15">
        <v>2</v>
      </c>
      <c r="AN63" s="15">
        <v>2</v>
      </c>
      <c r="AO63" s="15">
        <v>0</v>
      </c>
      <c r="AP63" s="15">
        <v>0</v>
      </c>
      <c r="AQ63" s="15">
        <v>0</v>
      </c>
      <c r="AR63" s="15">
        <v>0</v>
      </c>
      <c r="AS63" s="15">
        <v>1</v>
      </c>
      <c r="AT63" s="15">
        <v>10</v>
      </c>
      <c r="AU63" s="15">
        <v>9</v>
      </c>
      <c r="AV63" s="15">
        <v>1</v>
      </c>
      <c r="AW63" s="15">
        <v>0</v>
      </c>
      <c r="AX63" s="15">
        <v>5</v>
      </c>
      <c r="AY63" s="15">
        <v>0</v>
      </c>
      <c r="AZ63" s="15">
        <v>8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1</v>
      </c>
      <c r="BR63" s="15">
        <v>0</v>
      </c>
      <c r="BS63" s="15">
        <v>0</v>
      </c>
      <c r="BT63" s="15">
        <v>0</v>
      </c>
    </row>
    <row r="64" spans="1:72" x14ac:dyDescent="0.2">
      <c r="A64" s="15" t="s">
        <v>82</v>
      </c>
      <c r="B64" t="s">
        <v>137</v>
      </c>
      <c r="C64" s="15" t="s">
        <v>73</v>
      </c>
      <c r="D64" s="15">
        <v>6</v>
      </c>
      <c r="E64" s="15">
        <v>3</v>
      </c>
      <c r="F64" s="15">
        <v>18</v>
      </c>
      <c r="G64" s="15">
        <v>48</v>
      </c>
      <c r="H64" s="15">
        <v>13</v>
      </c>
      <c r="I64" s="15">
        <v>179</v>
      </c>
      <c r="J64" s="15" t="s">
        <v>83</v>
      </c>
      <c r="K64" s="15" t="s">
        <v>84</v>
      </c>
      <c r="L64" s="15" t="s">
        <v>85</v>
      </c>
      <c r="M64" s="15" t="s">
        <v>86</v>
      </c>
      <c r="N64" s="15">
        <v>1</v>
      </c>
      <c r="O64" s="15">
        <v>0</v>
      </c>
      <c r="P64" s="15">
        <v>27</v>
      </c>
      <c r="Q64" s="15">
        <v>0</v>
      </c>
      <c r="R64" s="15">
        <v>0</v>
      </c>
      <c r="S64" s="15">
        <v>0</v>
      </c>
      <c r="T64" s="15">
        <v>1</v>
      </c>
      <c r="U64" s="15">
        <v>0</v>
      </c>
      <c r="V64" s="15">
        <v>1</v>
      </c>
      <c r="W64" s="15">
        <v>5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1</v>
      </c>
      <c r="AG64" s="15">
        <v>0</v>
      </c>
      <c r="AH64" s="15">
        <v>0</v>
      </c>
      <c r="AI64" s="15">
        <v>2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1</v>
      </c>
      <c r="AQ64" s="15">
        <v>0</v>
      </c>
      <c r="AR64" s="15">
        <v>0</v>
      </c>
      <c r="AS64" s="15">
        <v>0</v>
      </c>
      <c r="AT64" s="15">
        <v>3</v>
      </c>
      <c r="AU64" s="15">
        <v>1</v>
      </c>
      <c r="AV64" s="15">
        <v>1</v>
      </c>
      <c r="AW64" s="15">
        <v>0</v>
      </c>
      <c r="AX64" s="15">
        <v>1</v>
      </c>
      <c r="AY64" s="15">
        <v>0</v>
      </c>
      <c r="AZ64" s="15">
        <v>3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</row>
    <row r="65" spans="1:72" x14ac:dyDescent="0.2">
      <c r="A65" s="15" t="s">
        <v>87</v>
      </c>
      <c r="B65" t="s">
        <v>137</v>
      </c>
      <c r="C65" s="15" t="s">
        <v>73</v>
      </c>
      <c r="D65" s="15">
        <v>6</v>
      </c>
      <c r="E65" s="15">
        <v>3</v>
      </c>
      <c r="F65" s="15">
        <v>18</v>
      </c>
      <c r="G65" s="15">
        <v>47</v>
      </c>
      <c r="H65" s="15">
        <v>10</v>
      </c>
      <c r="I65" s="15">
        <v>88</v>
      </c>
      <c r="J65" s="15" t="s">
        <v>88</v>
      </c>
      <c r="K65" s="15" t="s">
        <v>81</v>
      </c>
      <c r="L65" s="15" t="s">
        <v>89</v>
      </c>
      <c r="M65" s="15" t="s">
        <v>86</v>
      </c>
      <c r="N65" s="15">
        <v>0</v>
      </c>
      <c r="O65" s="15">
        <v>0</v>
      </c>
      <c r="P65" s="15">
        <v>24</v>
      </c>
      <c r="Q65" s="15">
        <v>0</v>
      </c>
      <c r="R65" s="15">
        <v>0</v>
      </c>
      <c r="S65" s="15">
        <v>0</v>
      </c>
      <c r="T65" s="15">
        <v>1</v>
      </c>
      <c r="U65" s="15">
        <v>0</v>
      </c>
      <c r="V65" s="15">
        <v>0</v>
      </c>
      <c r="W65" s="15">
        <v>4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1</v>
      </c>
      <c r="AE65" s="15">
        <v>3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6</v>
      </c>
      <c r="AN65" s="15">
        <v>1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1</v>
      </c>
      <c r="AU65" s="15">
        <v>0</v>
      </c>
      <c r="AV65" s="15">
        <v>2</v>
      </c>
      <c r="AW65" s="15">
        <v>0</v>
      </c>
      <c r="AX65" s="15">
        <v>0</v>
      </c>
      <c r="AY65" s="15">
        <v>0</v>
      </c>
      <c r="AZ65" s="15">
        <v>4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</row>
    <row r="66" spans="1:72" x14ac:dyDescent="0.2">
      <c r="A66" s="15" t="s">
        <v>90</v>
      </c>
      <c r="B66" t="s">
        <v>137</v>
      </c>
      <c r="C66" s="15" t="s">
        <v>91</v>
      </c>
      <c r="D66" s="15">
        <v>2</v>
      </c>
      <c r="E66" s="15">
        <v>2</v>
      </c>
      <c r="F66" s="15">
        <v>4</v>
      </c>
      <c r="G66" s="15">
        <v>38</v>
      </c>
      <c r="H66" s="15">
        <v>11</v>
      </c>
      <c r="I66" s="15">
        <v>255</v>
      </c>
      <c r="J66" s="15" t="s">
        <v>92</v>
      </c>
      <c r="K66" s="15" t="s">
        <v>85</v>
      </c>
      <c r="L66" s="15" t="s">
        <v>84</v>
      </c>
      <c r="M66" s="15" t="s">
        <v>86</v>
      </c>
      <c r="N66" s="15">
        <v>0</v>
      </c>
      <c r="O66" s="15">
        <v>0</v>
      </c>
      <c r="P66" s="15">
        <v>7</v>
      </c>
      <c r="Q66" s="15">
        <v>0</v>
      </c>
      <c r="R66" s="15">
        <v>0</v>
      </c>
      <c r="S66" s="15">
        <v>0</v>
      </c>
      <c r="T66" s="15">
        <v>1</v>
      </c>
      <c r="U66" s="15">
        <v>0</v>
      </c>
      <c r="V66" s="15">
        <v>2</v>
      </c>
      <c r="W66" s="15">
        <v>12</v>
      </c>
      <c r="X66" s="15">
        <v>0</v>
      </c>
      <c r="Y66" s="15">
        <v>2</v>
      </c>
      <c r="Z66" s="15">
        <v>0</v>
      </c>
      <c r="AA66" s="15">
        <v>0</v>
      </c>
      <c r="AB66" s="15">
        <v>0</v>
      </c>
      <c r="AC66" s="15">
        <v>1</v>
      </c>
      <c r="AD66" s="15">
        <v>0</v>
      </c>
      <c r="AE66" s="15">
        <v>2</v>
      </c>
      <c r="AF66" s="15">
        <v>0</v>
      </c>
      <c r="AG66" s="15">
        <v>0</v>
      </c>
      <c r="AH66" s="15">
        <v>2</v>
      </c>
      <c r="AI66" s="15">
        <v>0</v>
      </c>
      <c r="AJ66" s="15">
        <v>0</v>
      </c>
      <c r="AK66" s="15">
        <v>0</v>
      </c>
      <c r="AL66" s="15">
        <v>6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1</v>
      </c>
      <c r="AV66" s="15">
        <v>0</v>
      </c>
      <c r="AW66" s="15">
        <v>0</v>
      </c>
      <c r="AX66" s="15">
        <v>0</v>
      </c>
      <c r="AY66" s="15">
        <v>0</v>
      </c>
      <c r="AZ66" s="15">
        <v>2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</row>
    <row r="67" spans="1:72" x14ac:dyDescent="0.2">
      <c r="A67" s="15" t="s">
        <v>93</v>
      </c>
      <c r="B67" t="s">
        <v>137</v>
      </c>
      <c r="C67" s="15" t="s">
        <v>73</v>
      </c>
      <c r="D67" s="15">
        <v>6</v>
      </c>
      <c r="E67" s="15">
        <v>2</v>
      </c>
      <c r="F67" s="15">
        <v>12</v>
      </c>
      <c r="G67" s="15">
        <v>58</v>
      </c>
      <c r="H67" s="15">
        <v>11</v>
      </c>
      <c r="I67" s="15">
        <v>255</v>
      </c>
      <c r="J67" s="15" t="s">
        <v>92</v>
      </c>
      <c r="K67" s="15" t="s">
        <v>75</v>
      </c>
      <c r="L67" s="15" t="s">
        <v>85</v>
      </c>
      <c r="M67" s="15" t="s">
        <v>94</v>
      </c>
      <c r="N67" s="15">
        <v>0</v>
      </c>
      <c r="O67" s="15">
        <v>0</v>
      </c>
      <c r="P67" s="15">
        <v>19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1</v>
      </c>
      <c r="W67" s="15">
        <v>19</v>
      </c>
      <c r="X67" s="15">
        <v>0</v>
      </c>
      <c r="Y67" s="15">
        <v>0</v>
      </c>
      <c r="Z67" s="15">
        <v>2</v>
      </c>
      <c r="AA67" s="15">
        <v>0</v>
      </c>
      <c r="AB67" s="15">
        <v>0</v>
      </c>
      <c r="AC67" s="15">
        <v>0</v>
      </c>
      <c r="AD67" s="15">
        <v>0</v>
      </c>
      <c r="AE67" s="15">
        <v>1</v>
      </c>
      <c r="AF67" s="15">
        <v>0</v>
      </c>
      <c r="AG67" s="15">
        <v>0</v>
      </c>
      <c r="AH67" s="15">
        <v>0</v>
      </c>
      <c r="AI67" s="15">
        <v>3</v>
      </c>
      <c r="AJ67" s="15">
        <v>0</v>
      </c>
      <c r="AK67" s="15">
        <v>0</v>
      </c>
      <c r="AL67" s="15">
        <v>0</v>
      </c>
      <c r="AM67" s="15">
        <v>6</v>
      </c>
      <c r="AN67" s="15">
        <v>1</v>
      </c>
      <c r="AO67" s="15">
        <v>0</v>
      </c>
      <c r="AP67" s="15">
        <v>0</v>
      </c>
      <c r="AQ67" s="15">
        <v>0</v>
      </c>
      <c r="AR67" s="15">
        <v>0</v>
      </c>
      <c r="AS67" s="15">
        <v>1</v>
      </c>
      <c r="AT67" s="15">
        <v>0</v>
      </c>
      <c r="AU67" s="15">
        <v>1</v>
      </c>
      <c r="AV67" s="15">
        <v>0</v>
      </c>
      <c r="AW67" s="15">
        <v>0</v>
      </c>
      <c r="AX67" s="15">
        <v>0</v>
      </c>
      <c r="AY67" s="15">
        <v>0</v>
      </c>
      <c r="AZ67" s="15">
        <v>4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  <c r="BS67" s="15">
        <v>0</v>
      </c>
      <c r="BT67" s="15">
        <v>0</v>
      </c>
    </row>
    <row r="68" spans="1:72" x14ac:dyDescent="0.2">
      <c r="A68" s="15" t="s">
        <v>95</v>
      </c>
      <c r="B68" t="s">
        <v>137</v>
      </c>
      <c r="C68" s="15" t="s">
        <v>96</v>
      </c>
      <c r="D68" s="15">
        <v>4</v>
      </c>
      <c r="E68" s="15">
        <v>3</v>
      </c>
      <c r="F68" s="15">
        <v>12</v>
      </c>
      <c r="G68" s="15">
        <v>56</v>
      </c>
      <c r="H68" s="15">
        <v>8</v>
      </c>
      <c r="I68" s="15">
        <v>2</v>
      </c>
      <c r="J68" s="15" t="s">
        <v>97</v>
      </c>
      <c r="K68" s="15" t="s">
        <v>84</v>
      </c>
      <c r="L68" s="15" t="s">
        <v>84</v>
      </c>
      <c r="M68" s="15" t="s">
        <v>94</v>
      </c>
      <c r="N68" s="15">
        <v>0</v>
      </c>
      <c r="O68" s="15">
        <v>0</v>
      </c>
      <c r="P68" s="15">
        <v>35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2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1</v>
      </c>
      <c r="AI68" s="15">
        <v>0</v>
      </c>
      <c r="AJ68" s="15">
        <v>0</v>
      </c>
      <c r="AK68" s="15">
        <v>0</v>
      </c>
      <c r="AL68" s="15">
        <v>0</v>
      </c>
      <c r="AM68" s="15">
        <v>12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1</v>
      </c>
      <c r="AU68" s="15">
        <v>2</v>
      </c>
      <c r="AV68" s="15">
        <v>1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2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</row>
    <row r="69" spans="1:72" x14ac:dyDescent="0.2">
      <c r="A69" s="15" t="s">
        <v>98</v>
      </c>
      <c r="B69" t="s">
        <v>137</v>
      </c>
      <c r="C69" s="15" t="s">
        <v>73</v>
      </c>
      <c r="D69" s="15">
        <v>6</v>
      </c>
      <c r="E69" s="15">
        <v>3</v>
      </c>
      <c r="F69" s="15">
        <v>18</v>
      </c>
      <c r="G69" s="15">
        <v>46</v>
      </c>
      <c r="H69" s="15">
        <v>11</v>
      </c>
      <c r="I69" s="15">
        <v>171</v>
      </c>
      <c r="J69" s="15" t="s">
        <v>83</v>
      </c>
      <c r="K69" s="15" t="s">
        <v>81</v>
      </c>
      <c r="L69" s="15" t="s">
        <v>89</v>
      </c>
      <c r="M69" s="15" t="s">
        <v>99</v>
      </c>
      <c r="N69" s="15">
        <v>0</v>
      </c>
      <c r="O69" s="15">
        <v>0</v>
      </c>
      <c r="P69" s="15">
        <v>25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3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3</v>
      </c>
      <c r="AD69" s="15">
        <v>0</v>
      </c>
      <c r="AE69" s="15">
        <v>1</v>
      </c>
      <c r="AF69" s="15">
        <v>0</v>
      </c>
      <c r="AG69" s="15">
        <v>0</v>
      </c>
      <c r="AH69" s="15">
        <v>0</v>
      </c>
      <c r="AI69" s="15">
        <v>3</v>
      </c>
      <c r="AJ69" s="15">
        <v>0</v>
      </c>
      <c r="AK69" s="15">
        <v>0</v>
      </c>
      <c r="AL69" s="15">
        <v>1</v>
      </c>
      <c r="AM69" s="15">
        <v>1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3</v>
      </c>
      <c r="AU69" s="15">
        <v>4</v>
      </c>
      <c r="AV69" s="15">
        <v>1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1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</row>
    <row r="70" spans="1:72" x14ac:dyDescent="0.2">
      <c r="A70" s="15" t="s">
        <v>100</v>
      </c>
      <c r="B70" t="s">
        <v>137</v>
      </c>
      <c r="C70" s="15" t="s">
        <v>73</v>
      </c>
      <c r="D70" s="15">
        <v>6</v>
      </c>
      <c r="E70" s="15">
        <v>2</v>
      </c>
      <c r="F70" s="15">
        <v>12</v>
      </c>
      <c r="G70" s="15">
        <v>35</v>
      </c>
      <c r="H70" s="15">
        <v>8</v>
      </c>
      <c r="I70" s="15">
        <v>268</v>
      </c>
      <c r="J70" s="15" t="s">
        <v>92</v>
      </c>
      <c r="K70" s="15" t="s">
        <v>75</v>
      </c>
      <c r="L70" s="15" t="s">
        <v>89</v>
      </c>
      <c r="M70" s="15" t="s">
        <v>94</v>
      </c>
      <c r="N70" s="15">
        <v>6</v>
      </c>
      <c r="O70" s="15">
        <v>0</v>
      </c>
      <c r="P70" s="15">
        <v>13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10</v>
      </c>
      <c r="X70" s="15">
        <v>0</v>
      </c>
      <c r="Y70" s="15">
        <v>0</v>
      </c>
      <c r="Z70" s="15">
        <v>2</v>
      </c>
      <c r="AA70" s="15">
        <v>0</v>
      </c>
      <c r="AB70" s="15">
        <v>0</v>
      </c>
      <c r="AC70" s="15">
        <v>1</v>
      </c>
      <c r="AD70" s="15">
        <v>0</v>
      </c>
      <c r="AE70" s="15">
        <v>1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1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1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</row>
    <row r="71" spans="1:72" x14ac:dyDescent="0.2">
      <c r="A71" s="22" t="s">
        <v>101</v>
      </c>
      <c r="B71" t="s">
        <v>137</v>
      </c>
      <c r="C71" s="15" t="s">
        <v>102</v>
      </c>
      <c r="D71" s="15">
        <v>1</v>
      </c>
      <c r="E71" s="15">
        <v>3</v>
      </c>
      <c r="F71" s="15">
        <v>3</v>
      </c>
      <c r="G71" s="15">
        <v>0</v>
      </c>
      <c r="H71" s="15">
        <v>0</v>
      </c>
      <c r="I71" s="15">
        <v>333</v>
      </c>
      <c r="J71" s="15" t="s">
        <v>103</v>
      </c>
      <c r="K71" s="15" t="s">
        <v>104</v>
      </c>
      <c r="L71" s="15" t="s">
        <v>84</v>
      </c>
      <c r="M71" s="15" t="s">
        <v>94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</row>
    <row r="72" spans="1:72" x14ac:dyDescent="0.2">
      <c r="A72" s="15" t="s">
        <v>105</v>
      </c>
      <c r="B72" t="s">
        <v>137</v>
      </c>
      <c r="C72" s="15" t="s">
        <v>96</v>
      </c>
      <c r="D72" s="15">
        <v>4</v>
      </c>
      <c r="E72" s="15">
        <v>3</v>
      </c>
      <c r="F72" s="15">
        <v>12</v>
      </c>
      <c r="G72" s="15">
        <v>44</v>
      </c>
      <c r="H72" s="15">
        <v>6</v>
      </c>
      <c r="I72" s="15">
        <v>0</v>
      </c>
      <c r="J72" s="15" t="s">
        <v>97</v>
      </c>
      <c r="K72" s="15" t="s">
        <v>85</v>
      </c>
      <c r="L72" s="15" t="s">
        <v>84</v>
      </c>
      <c r="M72" s="15" t="s">
        <v>94</v>
      </c>
      <c r="N72" s="15">
        <v>0</v>
      </c>
      <c r="O72" s="15">
        <v>0</v>
      </c>
      <c r="P72" s="15">
        <v>26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5</v>
      </c>
      <c r="X72" s="15">
        <v>0</v>
      </c>
      <c r="Y72" s="15">
        <v>1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5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4</v>
      </c>
      <c r="AV72" s="15">
        <v>3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</row>
    <row r="73" spans="1:72" x14ac:dyDescent="0.2">
      <c r="A73" s="15" t="s">
        <v>106</v>
      </c>
      <c r="B73" t="s">
        <v>137</v>
      </c>
      <c r="C73" s="15" t="s">
        <v>96</v>
      </c>
      <c r="D73" s="15">
        <v>4</v>
      </c>
      <c r="E73" s="15">
        <v>3</v>
      </c>
      <c r="F73" s="15">
        <v>12</v>
      </c>
      <c r="G73" s="15">
        <v>35</v>
      </c>
      <c r="H73" s="15">
        <v>6</v>
      </c>
      <c r="I73" s="15">
        <v>358</v>
      </c>
      <c r="J73" s="15" t="s">
        <v>97</v>
      </c>
      <c r="K73" s="15" t="s">
        <v>85</v>
      </c>
      <c r="L73" s="15" t="s">
        <v>85</v>
      </c>
      <c r="M73" s="15" t="s">
        <v>94</v>
      </c>
      <c r="N73" s="15">
        <v>0</v>
      </c>
      <c r="O73" s="15">
        <v>0</v>
      </c>
      <c r="P73" s="15">
        <v>10</v>
      </c>
      <c r="Q73" s="15">
        <v>0</v>
      </c>
      <c r="R73" s="15">
        <v>0</v>
      </c>
      <c r="S73" s="15">
        <v>0</v>
      </c>
      <c r="T73" s="15">
        <v>2</v>
      </c>
      <c r="U73" s="15">
        <v>0</v>
      </c>
      <c r="V73" s="15">
        <v>1</v>
      </c>
      <c r="W73" s="15">
        <v>16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4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2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</row>
    <row r="74" spans="1:72" x14ac:dyDescent="0.2">
      <c r="A74" s="15" t="s">
        <v>107</v>
      </c>
      <c r="B74" t="s">
        <v>137</v>
      </c>
      <c r="C74" s="15" t="s">
        <v>96</v>
      </c>
      <c r="D74" s="15">
        <v>4</v>
      </c>
      <c r="E74" s="15">
        <v>3</v>
      </c>
      <c r="F74" s="15">
        <v>12</v>
      </c>
      <c r="G74" s="15">
        <v>59</v>
      </c>
      <c r="H74" s="15">
        <v>13</v>
      </c>
      <c r="I74" s="15">
        <v>4</v>
      </c>
      <c r="J74" s="15" t="s">
        <v>97</v>
      </c>
      <c r="K74" s="15" t="s">
        <v>84</v>
      </c>
      <c r="L74" s="15" t="s">
        <v>84</v>
      </c>
      <c r="M74" s="15" t="s">
        <v>108</v>
      </c>
      <c r="N74" s="15">
        <v>0</v>
      </c>
      <c r="O74" s="15">
        <v>0</v>
      </c>
      <c r="P74" s="15">
        <v>16</v>
      </c>
      <c r="Q74" s="15">
        <v>1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3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2</v>
      </c>
      <c r="AF74" s="15">
        <v>1</v>
      </c>
      <c r="AG74" s="15">
        <v>0</v>
      </c>
      <c r="AH74" s="15">
        <v>3</v>
      </c>
      <c r="AI74" s="15">
        <v>3</v>
      </c>
      <c r="AJ74" s="15">
        <v>0</v>
      </c>
      <c r="AK74" s="15">
        <v>0</v>
      </c>
      <c r="AL74" s="15">
        <v>1</v>
      </c>
      <c r="AM74" s="15">
        <v>22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1</v>
      </c>
      <c r="AU74" s="15">
        <v>4</v>
      </c>
      <c r="AV74" s="15">
        <v>1</v>
      </c>
      <c r="AW74" s="15">
        <v>0</v>
      </c>
      <c r="AX74" s="15">
        <v>0</v>
      </c>
      <c r="AY74" s="15">
        <v>0</v>
      </c>
      <c r="AZ74" s="15">
        <v>1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  <c r="BS74" s="15">
        <v>0</v>
      </c>
      <c r="BT74" s="15">
        <v>0</v>
      </c>
    </row>
    <row r="75" spans="1:72" x14ac:dyDescent="0.2">
      <c r="A75" s="15" t="s">
        <v>109</v>
      </c>
      <c r="B75" t="s">
        <v>137</v>
      </c>
      <c r="C75" s="15" t="s">
        <v>110</v>
      </c>
      <c r="D75" s="15">
        <v>2</v>
      </c>
      <c r="E75" s="15">
        <v>2</v>
      </c>
      <c r="F75" s="15">
        <v>4</v>
      </c>
      <c r="G75" s="15">
        <v>46</v>
      </c>
      <c r="H75" s="15">
        <v>9</v>
      </c>
      <c r="I75" s="15">
        <v>268</v>
      </c>
      <c r="J75" s="15" t="s">
        <v>92</v>
      </c>
      <c r="K75" s="15" t="s">
        <v>104</v>
      </c>
      <c r="L75" s="15" t="s">
        <v>104</v>
      </c>
      <c r="M75" s="15" t="s">
        <v>99</v>
      </c>
      <c r="N75" s="15">
        <v>0</v>
      </c>
      <c r="O75" s="15">
        <v>0</v>
      </c>
      <c r="P75" s="15">
        <v>3</v>
      </c>
      <c r="Q75" s="15">
        <v>0</v>
      </c>
      <c r="R75" s="15">
        <v>0</v>
      </c>
      <c r="S75" s="15">
        <v>0</v>
      </c>
      <c r="T75" s="15">
        <v>2</v>
      </c>
      <c r="U75" s="15">
        <v>0</v>
      </c>
      <c r="V75" s="15">
        <v>0</v>
      </c>
      <c r="W75" s="15">
        <v>3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2</v>
      </c>
      <c r="AF75" s="15">
        <v>0</v>
      </c>
      <c r="AG75" s="15">
        <v>0</v>
      </c>
      <c r="AH75" s="15">
        <v>4</v>
      </c>
      <c r="AI75" s="15">
        <v>1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26</v>
      </c>
      <c r="AU75" s="15">
        <v>4</v>
      </c>
      <c r="AV75" s="15">
        <v>0</v>
      </c>
      <c r="AW75" s="15">
        <v>0</v>
      </c>
      <c r="AX75" s="15">
        <v>0</v>
      </c>
      <c r="AY75" s="15">
        <v>0</v>
      </c>
      <c r="AZ75" s="15">
        <v>1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</row>
    <row r="76" spans="1:72" x14ac:dyDescent="0.2">
      <c r="A76" s="15" t="s">
        <v>111</v>
      </c>
      <c r="B76" t="s">
        <v>137</v>
      </c>
      <c r="C76" s="15" t="s">
        <v>110</v>
      </c>
      <c r="D76" s="15">
        <v>2</v>
      </c>
      <c r="E76" s="15">
        <v>2</v>
      </c>
      <c r="F76" s="15">
        <v>4</v>
      </c>
      <c r="G76" s="15">
        <v>42</v>
      </c>
      <c r="H76" s="15">
        <v>13</v>
      </c>
      <c r="I76" s="15">
        <v>84</v>
      </c>
      <c r="J76" s="15" t="s">
        <v>88</v>
      </c>
      <c r="K76" s="15" t="s">
        <v>104</v>
      </c>
      <c r="L76" s="15" t="s">
        <v>104</v>
      </c>
      <c r="M76" s="15" t="s">
        <v>99</v>
      </c>
      <c r="N76" s="15">
        <v>0</v>
      </c>
      <c r="O76" s="15">
        <v>0</v>
      </c>
      <c r="P76" s="15">
        <v>13</v>
      </c>
      <c r="Q76" s="15">
        <v>0</v>
      </c>
      <c r="R76" s="15">
        <v>1</v>
      </c>
      <c r="S76" s="15">
        <v>0</v>
      </c>
      <c r="T76" s="15">
        <v>1</v>
      </c>
      <c r="U76" s="15">
        <v>0</v>
      </c>
      <c r="V76" s="15">
        <v>0</v>
      </c>
      <c r="W76" s="15">
        <v>2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1</v>
      </c>
      <c r="AF76" s="15">
        <v>0</v>
      </c>
      <c r="AG76" s="15">
        <v>0</v>
      </c>
      <c r="AH76" s="15">
        <v>1</v>
      </c>
      <c r="AI76" s="15">
        <v>1</v>
      </c>
      <c r="AJ76" s="15">
        <v>0</v>
      </c>
      <c r="AK76" s="15">
        <v>0</v>
      </c>
      <c r="AL76" s="15">
        <v>0</v>
      </c>
      <c r="AM76" s="15">
        <v>1</v>
      </c>
      <c r="AN76" s="15">
        <v>2</v>
      </c>
      <c r="AO76" s="15">
        <v>0</v>
      </c>
      <c r="AP76" s="15">
        <v>0</v>
      </c>
      <c r="AQ76" s="15">
        <v>0</v>
      </c>
      <c r="AR76" s="15">
        <v>0</v>
      </c>
      <c r="AS76" s="15">
        <v>1</v>
      </c>
      <c r="AT76" s="15">
        <v>14</v>
      </c>
      <c r="AU76" s="15">
        <v>2</v>
      </c>
      <c r="AV76" s="15">
        <v>0</v>
      </c>
      <c r="AW76" s="15">
        <v>0</v>
      </c>
      <c r="AX76" s="15">
        <v>0</v>
      </c>
      <c r="AY76" s="15">
        <v>0</v>
      </c>
      <c r="AZ76" s="15">
        <v>2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</row>
    <row r="77" spans="1:72" x14ac:dyDescent="0.2">
      <c r="A77" s="15" t="s">
        <v>112</v>
      </c>
      <c r="B77" t="s">
        <v>137</v>
      </c>
      <c r="C77" s="15" t="s">
        <v>96</v>
      </c>
      <c r="D77" s="15">
        <v>4</v>
      </c>
      <c r="E77" s="15">
        <v>3</v>
      </c>
      <c r="F77" s="15">
        <v>12</v>
      </c>
      <c r="G77" s="15">
        <v>27</v>
      </c>
      <c r="H77" s="15">
        <v>6</v>
      </c>
      <c r="I77" s="15">
        <v>179</v>
      </c>
      <c r="J77" s="15" t="s">
        <v>83</v>
      </c>
      <c r="K77" s="15" t="s">
        <v>84</v>
      </c>
      <c r="L77" s="15" t="s">
        <v>85</v>
      </c>
      <c r="M77" s="15" t="s">
        <v>113</v>
      </c>
      <c r="N77" s="15">
        <v>0</v>
      </c>
      <c r="O77" s="15">
        <v>0</v>
      </c>
      <c r="P77" s="15">
        <v>22</v>
      </c>
      <c r="Q77" s="15">
        <v>0</v>
      </c>
      <c r="R77" s="15">
        <v>1</v>
      </c>
      <c r="S77" s="15">
        <v>0</v>
      </c>
      <c r="T77" s="15">
        <v>1</v>
      </c>
      <c r="U77" s="15">
        <v>0</v>
      </c>
      <c r="V77" s="15">
        <v>0</v>
      </c>
      <c r="W77" s="15">
        <v>1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1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1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</row>
    <row r="78" spans="1:72" x14ac:dyDescent="0.2">
      <c r="A78" s="15" t="s">
        <v>114</v>
      </c>
      <c r="B78" t="s">
        <v>137</v>
      </c>
      <c r="C78" s="15" t="s">
        <v>73</v>
      </c>
      <c r="D78" s="15">
        <v>6</v>
      </c>
      <c r="E78" s="15">
        <v>3</v>
      </c>
      <c r="F78" s="15">
        <v>18</v>
      </c>
      <c r="G78" s="15">
        <v>37</v>
      </c>
      <c r="H78" s="15">
        <v>10</v>
      </c>
      <c r="I78" s="15">
        <v>182</v>
      </c>
      <c r="J78" s="15" t="s">
        <v>83</v>
      </c>
      <c r="K78" s="15" t="s">
        <v>85</v>
      </c>
      <c r="L78" s="15" t="s">
        <v>85</v>
      </c>
      <c r="M78" s="15" t="s">
        <v>115</v>
      </c>
      <c r="N78" s="15">
        <v>0</v>
      </c>
      <c r="O78" s="15">
        <v>0</v>
      </c>
      <c r="P78" s="15">
        <v>18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2</v>
      </c>
      <c r="W78" s="15">
        <v>5</v>
      </c>
      <c r="X78" s="15">
        <v>0</v>
      </c>
      <c r="Y78" s="15">
        <v>0</v>
      </c>
      <c r="Z78" s="15">
        <v>2</v>
      </c>
      <c r="AA78" s="15">
        <v>0</v>
      </c>
      <c r="AB78" s="15">
        <v>0</v>
      </c>
      <c r="AC78" s="15">
        <v>0</v>
      </c>
      <c r="AD78" s="15">
        <v>0</v>
      </c>
      <c r="AE78" s="15">
        <v>3</v>
      </c>
      <c r="AF78" s="15">
        <v>1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3</v>
      </c>
      <c r="AU78" s="15">
        <v>0</v>
      </c>
      <c r="AV78" s="15">
        <v>1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1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1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  <c r="BS78" s="15">
        <v>0</v>
      </c>
      <c r="BT78" s="15">
        <v>0</v>
      </c>
    </row>
    <row r="79" spans="1:72" x14ac:dyDescent="0.2">
      <c r="A79" s="15" t="s">
        <v>116</v>
      </c>
      <c r="B79" t="s">
        <v>137</v>
      </c>
      <c r="C79" s="15" t="s">
        <v>96</v>
      </c>
      <c r="D79" s="15">
        <v>4</v>
      </c>
      <c r="E79" s="15">
        <v>2</v>
      </c>
      <c r="F79" s="15">
        <v>8</v>
      </c>
      <c r="G79" s="15">
        <v>24</v>
      </c>
      <c r="H79" s="15">
        <v>9</v>
      </c>
      <c r="I79" s="15">
        <v>165</v>
      </c>
      <c r="J79" s="15" t="s">
        <v>83</v>
      </c>
      <c r="K79" s="15" t="s">
        <v>76</v>
      </c>
      <c r="L79" s="15" t="s">
        <v>84</v>
      </c>
      <c r="M79" s="15" t="s">
        <v>86</v>
      </c>
      <c r="N79" s="15">
        <v>0</v>
      </c>
      <c r="O79" s="15">
        <v>0</v>
      </c>
      <c r="P79" s="15">
        <v>14</v>
      </c>
      <c r="Q79" s="15">
        <v>0</v>
      </c>
      <c r="R79" s="15">
        <v>0</v>
      </c>
      <c r="S79" s="15">
        <v>0</v>
      </c>
      <c r="T79" s="15">
        <v>1</v>
      </c>
      <c r="U79" s="15">
        <v>0</v>
      </c>
      <c r="V79" s="15">
        <v>1</v>
      </c>
      <c r="W79" s="15">
        <v>3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1</v>
      </c>
      <c r="AF79" s="15">
        <v>0</v>
      </c>
      <c r="AG79" s="15">
        <v>0</v>
      </c>
      <c r="AH79" s="15">
        <v>0</v>
      </c>
      <c r="AI79" s="15">
        <v>1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1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1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1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</row>
    <row r="80" spans="1:72" x14ac:dyDescent="0.2">
      <c r="A80" s="15" t="s">
        <v>117</v>
      </c>
      <c r="B80" t="s">
        <v>137</v>
      </c>
      <c r="C80" s="15" t="s">
        <v>79</v>
      </c>
      <c r="D80" s="15">
        <v>8</v>
      </c>
      <c r="E80" s="15">
        <v>3</v>
      </c>
      <c r="F80" s="15">
        <v>24</v>
      </c>
      <c r="G80" s="15">
        <v>61</v>
      </c>
      <c r="H80" s="15">
        <v>14</v>
      </c>
      <c r="I80" s="15">
        <v>314</v>
      </c>
      <c r="J80" s="15" t="s">
        <v>103</v>
      </c>
      <c r="K80" s="15" t="s">
        <v>118</v>
      </c>
      <c r="L80" s="15" t="s">
        <v>75</v>
      </c>
      <c r="M80" s="15" t="s">
        <v>86</v>
      </c>
      <c r="N80" s="15">
        <v>0</v>
      </c>
      <c r="O80" s="15">
        <v>0</v>
      </c>
      <c r="P80" s="15">
        <v>19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1</v>
      </c>
      <c r="W80" s="15">
        <v>6</v>
      </c>
      <c r="X80" s="15">
        <v>0</v>
      </c>
      <c r="Y80" s="15">
        <v>7</v>
      </c>
      <c r="Z80" s="15">
        <v>1</v>
      </c>
      <c r="AA80" s="15">
        <v>0</v>
      </c>
      <c r="AB80" s="15">
        <v>0</v>
      </c>
      <c r="AC80" s="15">
        <v>1</v>
      </c>
      <c r="AD80" s="15">
        <v>0</v>
      </c>
      <c r="AE80" s="15">
        <v>0</v>
      </c>
      <c r="AF80" s="15">
        <v>0</v>
      </c>
      <c r="AG80" s="15">
        <v>0</v>
      </c>
      <c r="AH80" s="15">
        <v>5</v>
      </c>
      <c r="AI80" s="15">
        <v>0</v>
      </c>
      <c r="AJ80" s="15">
        <v>0</v>
      </c>
      <c r="AK80" s="15">
        <v>0</v>
      </c>
      <c r="AL80" s="15">
        <v>3</v>
      </c>
      <c r="AM80" s="15">
        <v>0</v>
      </c>
      <c r="AN80" s="15">
        <v>1</v>
      </c>
      <c r="AO80" s="15">
        <v>0</v>
      </c>
      <c r="AP80" s="15">
        <v>0</v>
      </c>
      <c r="AQ80" s="15">
        <v>0</v>
      </c>
      <c r="AR80" s="15">
        <v>0</v>
      </c>
      <c r="AS80" s="15">
        <v>1</v>
      </c>
      <c r="AT80" s="15">
        <v>2</v>
      </c>
      <c r="AU80" s="15">
        <v>11</v>
      </c>
      <c r="AV80" s="15">
        <v>0</v>
      </c>
      <c r="AW80" s="15">
        <v>0</v>
      </c>
      <c r="AX80" s="15">
        <v>0</v>
      </c>
      <c r="AY80" s="15">
        <v>0</v>
      </c>
      <c r="AZ80" s="15">
        <v>2</v>
      </c>
      <c r="BA80" s="15">
        <v>0</v>
      </c>
      <c r="BB80" s="15">
        <v>0</v>
      </c>
      <c r="BC80" s="15">
        <v>0</v>
      </c>
      <c r="BD80" s="15">
        <v>0</v>
      </c>
      <c r="BE80" s="15">
        <v>1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</row>
    <row r="81" spans="1:72" x14ac:dyDescent="0.2">
      <c r="A81" s="15" t="s">
        <v>119</v>
      </c>
      <c r="B81" t="s">
        <v>137</v>
      </c>
      <c r="C81" s="15" t="s">
        <v>79</v>
      </c>
      <c r="D81" s="15">
        <v>8</v>
      </c>
      <c r="E81" s="15">
        <v>3</v>
      </c>
      <c r="F81" s="15">
        <v>24</v>
      </c>
      <c r="G81" s="15">
        <v>37</v>
      </c>
      <c r="H81" s="15">
        <v>11</v>
      </c>
      <c r="I81" s="15">
        <v>211</v>
      </c>
      <c r="J81" s="15" t="s">
        <v>74</v>
      </c>
      <c r="K81" s="15" t="s">
        <v>118</v>
      </c>
      <c r="L81" s="15" t="s">
        <v>89</v>
      </c>
      <c r="M81" s="15" t="s">
        <v>115</v>
      </c>
      <c r="N81" s="15">
        <v>0</v>
      </c>
      <c r="O81" s="15">
        <v>0</v>
      </c>
      <c r="P81" s="15">
        <v>12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3</v>
      </c>
      <c r="W81" s="15">
        <v>7</v>
      </c>
      <c r="X81" s="15">
        <v>0</v>
      </c>
      <c r="Y81" s="15">
        <v>3</v>
      </c>
      <c r="Z81" s="15">
        <v>0</v>
      </c>
      <c r="AA81" s="15">
        <v>0</v>
      </c>
      <c r="AB81" s="15">
        <v>0</v>
      </c>
      <c r="AC81" s="15">
        <v>1</v>
      </c>
      <c r="AD81" s="15">
        <v>0</v>
      </c>
      <c r="AE81" s="15">
        <v>2</v>
      </c>
      <c r="AF81" s="15">
        <v>0</v>
      </c>
      <c r="AG81" s="15">
        <v>0</v>
      </c>
      <c r="AH81" s="15">
        <v>1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1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2</v>
      </c>
      <c r="AU81" s="15">
        <v>2</v>
      </c>
      <c r="AV81" s="15">
        <v>0</v>
      </c>
      <c r="AW81" s="15">
        <v>0</v>
      </c>
      <c r="AX81" s="15">
        <v>0</v>
      </c>
      <c r="AY81" s="15">
        <v>0</v>
      </c>
      <c r="AZ81" s="15">
        <v>3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</row>
    <row r="82" spans="1:72" x14ac:dyDescent="0.2">
      <c r="A82" s="15" t="s">
        <v>120</v>
      </c>
      <c r="B82" t="s">
        <v>137</v>
      </c>
      <c r="C82" s="15" t="s">
        <v>79</v>
      </c>
      <c r="D82" s="15">
        <v>8</v>
      </c>
      <c r="E82" s="15">
        <v>2</v>
      </c>
      <c r="F82" s="15">
        <v>16</v>
      </c>
      <c r="G82" s="15">
        <v>60</v>
      </c>
      <c r="H82" s="15">
        <v>11</v>
      </c>
      <c r="I82" s="15">
        <v>174</v>
      </c>
      <c r="J82" s="15" t="s">
        <v>83</v>
      </c>
      <c r="K82" s="15" t="s">
        <v>89</v>
      </c>
      <c r="L82" s="15" t="s">
        <v>85</v>
      </c>
      <c r="M82" s="15" t="s">
        <v>121</v>
      </c>
      <c r="N82" s="15">
        <v>0</v>
      </c>
      <c r="O82" s="15">
        <v>0</v>
      </c>
      <c r="P82" s="15">
        <v>33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7</v>
      </c>
      <c r="X82" s="15">
        <v>0</v>
      </c>
      <c r="Y82" s="15">
        <v>7</v>
      </c>
      <c r="Z82" s="15">
        <v>2</v>
      </c>
      <c r="AA82" s="15">
        <v>0</v>
      </c>
      <c r="AB82" s="15">
        <v>0</v>
      </c>
      <c r="AC82" s="15">
        <v>0</v>
      </c>
      <c r="AD82" s="15">
        <v>0</v>
      </c>
      <c r="AE82" s="15">
        <v>1</v>
      </c>
      <c r="AF82" s="15">
        <v>0</v>
      </c>
      <c r="AG82" s="15">
        <v>0</v>
      </c>
      <c r="AH82" s="15">
        <v>1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1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3</v>
      </c>
      <c r="AU82" s="15">
        <v>2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2</v>
      </c>
      <c r="BK82" s="15">
        <v>1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</row>
    <row r="83" spans="1:72" x14ac:dyDescent="0.2">
      <c r="A83" s="15" t="s">
        <v>122</v>
      </c>
      <c r="B83" t="s">
        <v>137</v>
      </c>
      <c r="C83" s="15" t="s">
        <v>73</v>
      </c>
      <c r="D83" s="15">
        <v>6</v>
      </c>
      <c r="E83" s="15">
        <v>3</v>
      </c>
      <c r="F83" s="15">
        <v>18</v>
      </c>
      <c r="G83" s="15">
        <v>46</v>
      </c>
      <c r="H83" s="15">
        <v>13</v>
      </c>
      <c r="I83" s="15">
        <v>350</v>
      </c>
      <c r="J83" s="15" t="s">
        <v>97</v>
      </c>
      <c r="K83" s="15" t="s">
        <v>89</v>
      </c>
      <c r="L83" s="15" t="s">
        <v>85</v>
      </c>
      <c r="M83" s="15" t="s">
        <v>121</v>
      </c>
      <c r="N83" s="15">
        <v>0</v>
      </c>
      <c r="O83" s="15">
        <v>0</v>
      </c>
      <c r="P83" s="15">
        <v>15</v>
      </c>
      <c r="Q83" s="15">
        <v>0</v>
      </c>
      <c r="R83" s="15">
        <v>1</v>
      </c>
      <c r="S83" s="15">
        <v>0</v>
      </c>
      <c r="T83" s="15">
        <v>2</v>
      </c>
      <c r="U83" s="15">
        <v>0</v>
      </c>
      <c r="V83" s="15">
        <v>0</v>
      </c>
      <c r="W83" s="15">
        <v>2</v>
      </c>
      <c r="X83" s="15">
        <v>0</v>
      </c>
      <c r="Y83" s="15">
        <v>7</v>
      </c>
      <c r="Z83" s="15">
        <v>2</v>
      </c>
      <c r="AA83" s="15">
        <v>0</v>
      </c>
      <c r="AB83" s="15">
        <v>0</v>
      </c>
      <c r="AC83" s="15">
        <v>0</v>
      </c>
      <c r="AD83" s="15">
        <v>0</v>
      </c>
      <c r="AE83" s="15">
        <v>1</v>
      </c>
      <c r="AF83" s="15">
        <v>1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2</v>
      </c>
      <c r="AU83" s="15">
        <v>6</v>
      </c>
      <c r="AV83" s="15">
        <v>1</v>
      </c>
      <c r="AW83" s="15">
        <v>0</v>
      </c>
      <c r="AX83" s="15">
        <v>0</v>
      </c>
      <c r="AY83" s="15">
        <v>0</v>
      </c>
      <c r="AZ83" s="15">
        <v>5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1</v>
      </c>
      <c r="BQ83" s="15">
        <v>0</v>
      </c>
      <c r="BR83" s="15">
        <v>0</v>
      </c>
      <c r="BS83" s="15">
        <v>0</v>
      </c>
      <c r="BT83" s="15">
        <v>0</v>
      </c>
    </row>
    <row r="84" spans="1:72" x14ac:dyDescent="0.2">
      <c r="A84" s="15" t="s">
        <v>123</v>
      </c>
      <c r="B84" t="s">
        <v>137</v>
      </c>
      <c r="C84" s="15" t="s">
        <v>73</v>
      </c>
      <c r="D84" s="15">
        <v>6</v>
      </c>
      <c r="E84" s="15">
        <v>3</v>
      </c>
      <c r="F84" s="15">
        <v>18</v>
      </c>
      <c r="G84" s="15">
        <v>74</v>
      </c>
      <c r="H84" s="15">
        <v>19</v>
      </c>
      <c r="I84" s="15">
        <v>161</v>
      </c>
      <c r="J84" s="15" t="s">
        <v>124</v>
      </c>
      <c r="K84" s="15" t="s">
        <v>76</v>
      </c>
      <c r="L84" s="15" t="s">
        <v>85</v>
      </c>
      <c r="M84" s="15" t="s">
        <v>121</v>
      </c>
      <c r="N84" s="15">
        <v>0</v>
      </c>
      <c r="O84" s="15">
        <v>0</v>
      </c>
      <c r="P84" s="15">
        <v>37</v>
      </c>
      <c r="Q84" s="15">
        <v>0</v>
      </c>
      <c r="R84" s="15">
        <v>2</v>
      </c>
      <c r="S84" s="15">
        <v>0</v>
      </c>
      <c r="T84" s="15">
        <v>2</v>
      </c>
      <c r="U84" s="15">
        <v>0</v>
      </c>
      <c r="V84" s="15">
        <v>0</v>
      </c>
      <c r="W84" s="15">
        <v>6</v>
      </c>
      <c r="X84" s="15">
        <v>2</v>
      </c>
      <c r="Y84" s="15">
        <v>1</v>
      </c>
      <c r="Z84" s="15">
        <v>0</v>
      </c>
      <c r="AA84" s="15">
        <v>0</v>
      </c>
      <c r="AB84" s="15">
        <v>0</v>
      </c>
      <c r="AC84" s="15">
        <v>1</v>
      </c>
      <c r="AD84" s="15">
        <v>0</v>
      </c>
      <c r="AE84" s="15">
        <v>1</v>
      </c>
      <c r="AF84" s="15">
        <v>0</v>
      </c>
      <c r="AG84" s="15">
        <v>0</v>
      </c>
      <c r="AH84" s="15">
        <v>3</v>
      </c>
      <c r="AI84" s="15">
        <v>0</v>
      </c>
      <c r="AJ84" s="15">
        <v>0</v>
      </c>
      <c r="AK84" s="15">
        <v>1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5</v>
      </c>
      <c r="AU84" s="15">
        <v>4</v>
      </c>
      <c r="AV84" s="15">
        <v>1</v>
      </c>
      <c r="AW84" s="15">
        <v>0</v>
      </c>
      <c r="AX84" s="15">
        <v>1</v>
      </c>
      <c r="AY84" s="15">
        <v>0</v>
      </c>
      <c r="AZ84" s="15">
        <v>3</v>
      </c>
      <c r="BA84" s="15">
        <v>1</v>
      </c>
      <c r="BB84" s="15">
        <v>1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1</v>
      </c>
      <c r="BL84" s="15">
        <v>1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</row>
    <row r="85" spans="1:72" x14ac:dyDescent="0.2">
      <c r="A85" s="15" t="s">
        <v>125</v>
      </c>
      <c r="B85" t="s">
        <v>137</v>
      </c>
      <c r="C85" s="15" t="s">
        <v>79</v>
      </c>
      <c r="D85" s="15">
        <v>8</v>
      </c>
      <c r="E85" s="15">
        <v>3</v>
      </c>
      <c r="F85" s="15">
        <v>24</v>
      </c>
      <c r="G85" s="15">
        <v>58</v>
      </c>
      <c r="H85" s="15">
        <v>12</v>
      </c>
      <c r="I85" s="15">
        <v>287</v>
      </c>
      <c r="J85" s="15" t="s">
        <v>92</v>
      </c>
      <c r="K85" s="15" t="s">
        <v>81</v>
      </c>
      <c r="L85" s="15" t="s">
        <v>89</v>
      </c>
      <c r="M85" s="15" t="s">
        <v>121</v>
      </c>
      <c r="N85" s="15">
        <v>0</v>
      </c>
      <c r="O85" s="15">
        <v>0</v>
      </c>
      <c r="P85" s="15">
        <v>29</v>
      </c>
      <c r="Q85" s="15">
        <v>0</v>
      </c>
      <c r="R85" s="15">
        <v>0</v>
      </c>
      <c r="S85" s="15">
        <v>0</v>
      </c>
      <c r="T85" s="15">
        <v>3</v>
      </c>
      <c r="U85" s="15">
        <v>0</v>
      </c>
      <c r="V85" s="15">
        <v>2</v>
      </c>
      <c r="W85" s="15">
        <v>6</v>
      </c>
      <c r="X85" s="15">
        <v>2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2</v>
      </c>
      <c r="AF85" s="15">
        <v>0</v>
      </c>
      <c r="AG85" s="15">
        <v>0</v>
      </c>
      <c r="AH85" s="15">
        <v>4</v>
      </c>
      <c r="AI85" s="15">
        <v>1</v>
      </c>
      <c r="AJ85" s="15">
        <v>0</v>
      </c>
      <c r="AK85" s="15">
        <v>0</v>
      </c>
      <c r="AL85" s="15">
        <v>0</v>
      </c>
      <c r="AM85" s="15">
        <v>0</v>
      </c>
      <c r="AN85" s="15">
        <v>1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2</v>
      </c>
      <c r="AU85" s="15">
        <v>4</v>
      </c>
      <c r="AV85" s="15">
        <v>0</v>
      </c>
      <c r="AW85" s="15">
        <v>0</v>
      </c>
      <c r="AX85" s="15">
        <v>0</v>
      </c>
      <c r="AY85" s="15">
        <v>0</v>
      </c>
      <c r="AZ85" s="15">
        <v>2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</row>
    <row r="86" spans="1:72" x14ac:dyDescent="0.2">
      <c r="A86" s="15" t="s">
        <v>126</v>
      </c>
      <c r="B86" t="s">
        <v>137</v>
      </c>
      <c r="C86" s="15" t="s">
        <v>79</v>
      </c>
      <c r="D86" s="15">
        <v>8</v>
      </c>
      <c r="E86" s="15">
        <v>3</v>
      </c>
      <c r="F86" s="15">
        <v>24</v>
      </c>
      <c r="G86" s="15">
        <v>58</v>
      </c>
      <c r="H86" s="15">
        <v>13</v>
      </c>
      <c r="I86" s="15">
        <v>117</v>
      </c>
      <c r="J86" s="15" t="s">
        <v>80</v>
      </c>
      <c r="K86" s="15" t="s">
        <v>81</v>
      </c>
      <c r="L86" s="15" t="s">
        <v>89</v>
      </c>
      <c r="M86" s="15" t="s">
        <v>113</v>
      </c>
      <c r="N86" s="15">
        <v>0</v>
      </c>
      <c r="O86" s="15">
        <v>0</v>
      </c>
      <c r="P86" s="15">
        <v>32</v>
      </c>
      <c r="Q86" s="15">
        <v>1</v>
      </c>
      <c r="R86" s="15">
        <v>0</v>
      </c>
      <c r="S86" s="15">
        <v>0</v>
      </c>
      <c r="T86" s="15">
        <v>0</v>
      </c>
      <c r="U86" s="15">
        <v>0</v>
      </c>
      <c r="V86" s="15">
        <v>1</v>
      </c>
      <c r="W86" s="15">
        <v>3</v>
      </c>
      <c r="X86" s="15">
        <v>0</v>
      </c>
      <c r="Y86" s="15">
        <v>0</v>
      </c>
      <c r="Z86" s="15">
        <v>4</v>
      </c>
      <c r="AA86" s="15">
        <v>0</v>
      </c>
      <c r="AB86" s="15">
        <v>0</v>
      </c>
      <c r="AC86" s="15">
        <v>2</v>
      </c>
      <c r="AD86" s="15">
        <v>0</v>
      </c>
      <c r="AE86" s="15">
        <v>4</v>
      </c>
      <c r="AF86" s="15">
        <v>0</v>
      </c>
      <c r="AG86" s="15">
        <v>0</v>
      </c>
      <c r="AH86" s="15">
        <v>1</v>
      </c>
      <c r="AI86" s="15">
        <v>0</v>
      </c>
      <c r="AJ86" s="15">
        <v>0</v>
      </c>
      <c r="AK86" s="15">
        <v>0</v>
      </c>
      <c r="AL86" s="15">
        <v>0</v>
      </c>
      <c r="AM86" s="15">
        <v>2</v>
      </c>
      <c r="AN86" s="15">
        <v>2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4</v>
      </c>
      <c r="AU86" s="15">
        <v>0</v>
      </c>
      <c r="AV86" s="15">
        <v>0</v>
      </c>
      <c r="AW86" s="15">
        <v>0</v>
      </c>
      <c r="AX86" s="15">
        <v>1</v>
      </c>
      <c r="AY86" s="15">
        <v>0</v>
      </c>
      <c r="AZ86" s="15">
        <v>1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</row>
    <row r="87" spans="1:72" x14ac:dyDescent="0.2">
      <c r="A87" s="15" t="s">
        <v>127</v>
      </c>
      <c r="B87" t="s">
        <v>137</v>
      </c>
      <c r="C87" s="15" t="s">
        <v>79</v>
      </c>
      <c r="D87" s="15">
        <v>8</v>
      </c>
      <c r="E87" s="15">
        <v>3</v>
      </c>
      <c r="F87" s="15">
        <v>24</v>
      </c>
      <c r="G87" s="15">
        <v>80</v>
      </c>
      <c r="H87" s="15">
        <v>13</v>
      </c>
      <c r="I87" s="15">
        <v>102</v>
      </c>
      <c r="J87" s="15" t="s">
        <v>88</v>
      </c>
      <c r="K87" s="15" t="s">
        <v>89</v>
      </c>
      <c r="L87" s="15" t="s">
        <v>75</v>
      </c>
      <c r="M87" s="15" t="s">
        <v>113</v>
      </c>
      <c r="N87" s="15">
        <v>0</v>
      </c>
      <c r="O87" s="15">
        <v>0</v>
      </c>
      <c r="P87" s="15">
        <v>45</v>
      </c>
      <c r="Q87" s="15">
        <v>0</v>
      </c>
      <c r="R87" s="15">
        <v>0</v>
      </c>
      <c r="S87" s="15">
        <v>0</v>
      </c>
      <c r="T87" s="15">
        <v>2</v>
      </c>
      <c r="U87" s="15">
        <v>0</v>
      </c>
      <c r="V87" s="15">
        <v>1</v>
      </c>
      <c r="W87" s="15">
        <v>11</v>
      </c>
      <c r="X87" s="15">
        <v>0</v>
      </c>
      <c r="Y87" s="15">
        <v>0</v>
      </c>
      <c r="Z87" s="15">
        <v>3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1</v>
      </c>
      <c r="AG87" s="15">
        <v>0</v>
      </c>
      <c r="AH87" s="15">
        <v>2</v>
      </c>
      <c r="AI87" s="15">
        <v>1</v>
      </c>
      <c r="AJ87" s="15">
        <v>1</v>
      </c>
      <c r="AK87" s="15">
        <v>0</v>
      </c>
      <c r="AL87" s="15">
        <v>3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6</v>
      </c>
      <c r="AU87" s="15">
        <v>0</v>
      </c>
      <c r="AV87" s="15">
        <v>0</v>
      </c>
      <c r="AW87" s="15">
        <v>0</v>
      </c>
      <c r="AX87" s="15">
        <v>3</v>
      </c>
      <c r="AY87" s="15">
        <v>0</v>
      </c>
      <c r="AZ87" s="15">
        <v>1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</row>
    <row r="88" spans="1:72" x14ac:dyDescent="0.2">
      <c r="A88" s="15" t="s">
        <v>128</v>
      </c>
      <c r="B88" t="s">
        <v>137</v>
      </c>
      <c r="C88" s="15" t="s">
        <v>79</v>
      </c>
      <c r="D88" s="15">
        <v>8</v>
      </c>
      <c r="E88" s="15">
        <v>3</v>
      </c>
      <c r="F88" s="15">
        <v>24</v>
      </c>
      <c r="G88" s="15">
        <v>42</v>
      </c>
      <c r="H88" s="15">
        <v>14</v>
      </c>
      <c r="I88" s="15">
        <v>98</v>
      </c>
      <c r="J88" s="15" t="s">
        <v>88</v>
      </c>
      <c r="K88" s="15" t="s">
        <v>75</v>
      </c>
      <c r="L88" s="15" t="s">
        <v>75</v>
      </c>
      <c r="M88" s="15" t="s">
        <v>113</v>
      </c>
      <c r="N88" s="15">
        <v>0</v>
      </c>
      <c r="O88" s="15">
        <v>1</v>
      </c>
      <c r="P88" s="15">
        <v>21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4</v>
      </c>
      <c r="X88" s="15">
        <v>0</v>
      </c>
      <c r="Y88" s="15">
        <v>1</v>
      </c>
      <c r="Z88" s="15">
        <v>2</v>
      </c>
      <c r="AA88" s="15">
        <v>0</v>
      </c>
      <c r="AB88" s="15">
        <v>0</v>
      </c>
      <c r="AC88" s="15">
        <v>1</v>
      </c>
      <c r="AD88" s="15">
        <v>0</v>
      </c>
      <c r="AE88" s="15">
        <v>1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5</v>
      </c>
      <c r="AM88" s="15">
        <v>0</v>
      </c>
      <c r="AN88" s="15">
        <v>1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1</v>
      </c>
      <c r="AU88" s="15">
        <v>1</v>
      </c>
      <c r="AV88" s="15">
        <v>0</v>
      </c>
      <c r="AW88" s="15">
        <v>0</v>
      </c>
      <c r="AX88" s="15">
        <v>1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1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1</v>
      </c>
      <c r="BS88" s="15">
        <v>0</v>
      </c>
      <c r="BT88" s="15">
        <v>0</v>
      </c>
    </row>
    <row r="89" spans="1:72" x14ac:dyDescent="0.2">
      <c r="A89" s="15" t="s">
        <v>129</v>
      </c>
      <c r="B89" t="s">
        <v>137</v>
      </c>
      <c r="C89" s="15" t="s">
        <v>79</v>
      </c>
      <c r="D89" s="15">
        <v>8</v>
      </c>
      <c r="E89" s="15">
        <v>2</v>
      </c>
      <c r="F89" s="15">
        <v>16</v>
      </c>
      <c r="G89" s="15">
        <v>44</v>
      </c>
      <c r="H89" s="15">
        <v>12</v>
      </c>
      <c r="I89" s="15">
        <v>285</v>
      </c>
      <c r="J89" s="15" t="s">
        <v>92</v>
      </c>
      <c r="K89" s="15" t="s">
        <v>75</v>
      </c>
      <c r="L89" s="15" t="s">
        <v>89</v>
      </c>
      <c r="M89" s="15" t="s">
        <v>113</v>
      </c>
      <c r="N89" s="15">
        <v>0</v>
      </c>
      <c r="O89" s="15">
        <v>0</v>
      </c>
      <c r="P89" s="15">
        <v>14</v>
      </c>
      <c r="Q89" s="15">
        <v>0</v>
      </c>
      <c r="R89" s="15">
        <v>0</v>
      </c>
      <c r="S89" s="15">
        <v>1</v>
      </c>
      <c r="T89" s="15">
        <v>2</v>
      </c>
      <c r="U89" s="15">
        <v>0</v>
      </c>
      <c r="V89" s="15">
        <v>1</v>
      </c>
      <c r="W89" s="15">
        <v>7</v>
      </c>
      <c r="X89" s="15">
        <v>0</v>
      </c>
      <c r="Y89" s="15">
        <v>2</v>
      </c>
      <c r="Z89" s="15">
        <v>1</v>
      </c>
      <c r="AA89" s="15">
        <v>0</v>
      </c>
      <c r="AB89" s="15">
        <v>0</v>
      </c>
      <c r="AC89" s="15">
        <v>0</v>
      </c>
      <c r="AD89" s="15">
        <v>0</v>
      </c>
      <c r="AE89" s="15">
        <v>3</v>
      </c>
      <c r="AF89" s="15">
        <v>0</v>
      </c>
      <c r="AG89" s="15">
        <v>0</v>
      </c>
      <c r="AH89" s="15">
        <v>1</v>
      </c>
      <c r="AI89" s="15">
        <v>0</v>
      </c>
      <c r="AJ89" s="15">
        <v>0</v>
      </c>
      <c r="AK89" s="15">
        <v>0</v>
      </c>
      <c r="AL89" s="15">
        <v>0</v>
      </c>
      <c r="AM89" s="15">
        <v>8</v>
      </c>
      <c r="AN89" s="15">
        <v>1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3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</row>
    <row r="90" spans="1:72" x14ac:dyDescent="0.2">
      <c r="A90" s="15" t="s">
        <v>130</v>
      </c>
      <c r="B90" t="s">
        <v>137</v>
      </c>
      <c r="C90" s="15" t="s">
        <v>73</v>
      </c>
      <c r="D90" s="15">
        <v>6</v>
      </c>
      <c r="E90" s="15">
        <v>3</v>
      </c>
      <c r="F90" s="15">
        <v>18</v>
      </c>
      <c r="G90" s="15">
        <v>82</v>
      </c>
      <c r="H90" s="15">
        <v>17</v>
      </c>
      <c r="I90" s="15">
        <v>274</v>
      </c>
      <c r="J90" s="15" t="s">
        <v>92</v>
      </c>
      <c r="K90" s="15" t="s">
        <v>76</v>
      </c>
      <c r="L90" s="15" t="s">
        <v>89</v>
      </c>
      <c r="M90" s="15" t="s">
        <v>113</v>
      </c>
      <c r="N90" s="15">
        <v>1</v>
      </c>
      <c r="O90" s="15">
        <v>0</v>
      </c>
      <c r="P90" s="15">
        <v>36</v>
      </c>
      <c r="Q90" s="15">
        <v>0</v>
      </c>
      <c r="R90" s="15">
        <v>0</v>
      </c>
      <c r="S90" s="15">
        <v>0</v>
      </c>
      <c r="T90" s="15">
        <v>1</v>
      </c>
      <c r="U90" s="15">
        <v>0</v>
      </c>
      <c r="V90" s="15">
        <v>1</v>
      </c>
      <c r="W90" s="15">
        <v>3</v>
      </c>
      <c r="X90" s="15">
        <v>0</v>
      </c>
      <c r="Y90" s="15">
        <v>0</v>
      </c>
      <c r="Z90" s="15">
        <v>15</v>
      </c>
      <c r="AA90" s="15">
        <v>0</v>
      </c>
      <c r="AB90" s="15">
        <v>0</v>
      </c>
      <c r="AC90" s="15">
        <v>1</v>
      </c>
      <c r="AD90" s="15">
        <v>0</v>
      </c>
      <c r="AE90" s="15">
        <v>3</v>
      </c>
      <c r="AF90" s="15">
        <v>0</v>
      </c>
      <c r="AG90" s="15">
        <v>0</v>
      </c>
      <c r="AH90" s="15">
        <v>2</v>
      </c>
      <c r="AI90" s="15">
        <v>2</v>
      </c>
      <c r="AJ90" s="15">
        <v>0</v>
      </c>
      <c r="AK90" s="15">
        <v>0</v>
      </c>
      <c r="AL90" s="15">
        <v>0</v>
      </c>
      <c r="AM90" s="15">
        <v>2</v>
      </c>
      <c r="AN90" s="15">
        <v>3</v>
      </c>
      <c r="AO90" s="15">
        <v>0</v>
      </c>
      <c r="AP90" s="15">
        <v>0</v>
      </c>
      <c r="AQ90" s="15">
        <v>0</v>
      </c>
      <c r="AR90" s="15">
        <v>0</v>
      </c>
      <c r="AS90" s="15">
        <v>3</v>
      </c>
      <c r="AT90" s="15">
        <v>1</v>
      </c>
      <c r="AU90" s="15">
        <v>1</v>
      </c>
      <c r="AV90" s="15">
        <v>0</v>
      </c>
      <c r="AW90" s="15">
        <v>0</v>
      </c>
      <c r="AX90" s="15">
        <v>5</v>
      </c>
      <c r="AY90" s="15">
        <v>0</v>
      </c>
      <c r="AZ90" s="15">
        <v>2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  <c r="BS90" s="15">
        <v>0</v>
      </c>
      <c r="BT90" s="15">
        <v>0</v>
      </c>
    </row>
    <row r="91" spans="1:72" x14ac:dyDescent="0.2">
      <c r="A91" s="15" t="s">
        <v>131</v>
      </c>
      <c r="B91" t="s">
        <v>137</v>
      </c>
      <c r="C91" s="15" t="s">
        <v>73</v>
      </c>
      <c r="D91" s="15">
        <v>6</v>
      </c>
      <c r="E91" s="15">
        <v>3</v>
      </c>
      <c r="F91" s="15">
        <v>18</v>
      </c>
      <c r="G91" s="15">
        <v>47</v>
      </c>
      <c r="H91" s="15">
        <v>17</v>
      </c>
      <c r="I91" s="15">
        <v>278</v>
      </c>
      <c r="J91" s="15" t="s">
        <v>92</v>
      </c>
      <c r="K91" s="15" t="s">
        <v>76</v>
      </c>
      <c r="L91" s="15" t="s">
        <v>75</v>
      </c>
      <c r="M91" s="15" t="s">
        <v>113</v>
      </c>
      <c r="N91" s="15">
        <v>1</v>
      </c>
      <c r="O91" s="15">
        <v>0</v>
      </c>
      <c r="P91" s="15">
        <v>16</v>
      </c>
      <c r="Q91" s="15">
        <v>0</v>
      </c>
      <c r="R91" s="15">
        <v>2</v>
      </c>
      <c r="S91" s="15">
        <v>10</v>
      </c>
      <c r="T91" s="15">
        <v>1</v>
      </c>
      <c r="U91" s="15">
        <v>0</v>
      </c>
      <c r="V91" s="15">
        <v>1</v>
      </c>
      <c r="W91" s="15">
        <v>1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1</v>
      </c>
      <c r="AD91" s="15">
        <v>0</v>
      </c>
      <c r="AE91" s="15">
        <v>1</v>
      </c>
      <c r="AF91" s="15">
        <v>0</v>
      </c>
      <c r="AG91" s="15">
        <v>0</v>
      </c>
      <c r="AH91" s="15">
        <v>1</v>
      </c>
      <c r="AI91" s="15">
        <v>2</v>
      </c>
      <c r="AJ91" s="15">
        <v>1</v>
      </c>
      <c r="AK91" s="15">
        <v>0</v>
      </c>
      <c r="AL91" s="15">
        <v>1</v>
      </c>
      <c r="AM91" s="15">
        <v>2</v>
      </c>
      <c r="AN91" s="15">
        <v>2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3</v>
      </c>
      <c r="AV91" s="15">
        <v>0</v>
      </c>
      <c r="AW91" s="15">
        <v>0</v>
      </c>
      <c r="AX91" s="15">
        <v>1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6248-094D-5848-8A3C-C014AF66CBD7}">
  <dimension ref="A1:AY91"/>
  <sheetViews>
    <sheetView zoomScale="75" workbookViewId="0">
      <selection activeCell="X93" sqref="X93"/>
    </sheetView>
  </sheetViews>
  <sheetFormatPr baseColWidth="10" defaultRowHeight="16" x14ac:dyDescent="0.2"/>
  <cols>
    <col min="4" max="4" width="5.33203125" bestFit="1" customWidth="1"/>
    <col min="5" max="5" width="59.33203125" bestFit="1" customWidth="1"/>
    <col min="15" max="15" width="19.6640625" bestFit="1" customWidth="1"/>
  </cols>
  <sheetData>
    <row r="1" spans="1:51" ht="103" x14ac:dyDescent="0.2">
      <c r="A1" s="1" t="s">
        <v>0</v>
      </c>
      <c r="B1" s="2" t="s">
        <v>1</v>
      </c>
      <c r="C1" s="2" t="s">
        <v>2</v>
      </c>
      <c r="D1" s="1" t="s">
        <v>134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223</v>
      </c>
      <c r="Q1" s="1" t="s">
        <v>17</v>
      </c>
      <c r="R1" s="1" t="s">
        <v>224</v>
      </c>
      <c r="S1" s="1" t="s">
        <v>225</v>
      </c>
      <c r="T1" s="1" t="s">
        <v>226</v>
      </c>
      <c r="U1" s="1" t="s">
        <v>143</v>
      </c>
      <c r="V1" s="1" t="s">
        <v>22</v>
      </c>
      <c r="W1" s="1" t="s">
        <v>23</v>
      </c>
      <c r="X1" s="1" t="s">
        <v>144</v>
      </c>
      <c r="Y1" s="1" t="s">
        <v>25</v>
      </c>
      <c r="Z1" s="1" t="s">
        <v>227</v>
      </c>
      <c r="AA1" s="1" t="s">
        <v>27</v>
      </c>
      <c r="AB1" s="1" t="s">
        <v>228</v>
      </c>
      <c r="AC1" s="1" t="s">
        <v>29</v>
      </c>
      <c r="AD1" s="1" t="s">
        <v>229</v>
      </c>
      <c r="AE1" s="1" t="s">
        <v>230</v>
      </c>
      <c r="AF1" s="1" t="s">
        <v>139</v>
      </c>
      <c r="AG1" s="1" t="s">
        <v>231</v>
      </c>
      <c r="AH1" s="14" t="s">
        <v>141</v>
      </c>
      <c r="AI1" s="1"/>
      <c r="AJ1" s="1"/>
      <c r="AK1" s="1"/>
      <c r="AL1" s="16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t="s">
        <v>72</v>
      </c>
      <c r="B2" s="10">
        <v>51.822099999999999</v>
      </c>
      <c r="C2" s="10">
        <v>-1.2992330000000001</v>
      </c>
      <c r="D2" t="s">
        <v>135</v>
      </c>
      <c r="E2" t="s">
        <v>73</v>
      </c>
      <c r="F2">
        <v>6</v>
      </c>
      <c r="G2">
        <v>3</v>
      </c>
      <c r="H2">
        <f t="shared" ref="H2:H65" si="0">F2*G2</f>
        <v>18</v>
      </c>
      <c r="I2">
        <f>SUM(P2:AH2)</f>
        <v>57</v>
      </c>
      <c r="J2">
        <f t="shared" ref="J2:J65" si="1">COUNTIF(P2:BS2,"&gt;0")</f>
        <v>8</v>
      </c>
      <c r="K2" s="11">
        <v>225</v>
      </c>
      <c r="L2" t="s">
        <v>74</v>
      </c>
      <c r="M2" t="s">
        <v>75</v>
      </c>
      <c r="N2" t="s">
        <v>76</v>
      </c>
      <c r="O2" t="s">
        <v>77</v>
      </c>
      <c r="P2">
        <v>2</v>
      </c>
      <c r="Q2">
        <v>9</v>
      </c>
      <c r="R2">
        <v>0</v>
      </c>
      <c r="S2">
        <v>0</v>
      </c>
      <c r="T2">
        <v>0</v>
      </c>
      <c r="U2">
        <v>0</v>
      </c>
      <c r="V2">
        <v>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5</v>
      </c>
      <c r="AD2">
        <v>0</v>
      </c>
      <c r="AE2">
        <v>5</v>
      </c>
      <c r="AF2">
        <v>1</v>
      </c>
      <c r="AG2">
        <v>2</v>
      </c>
      <c r="AH2" s="15">
        <v>30</v>
      </c>
    </row>
    <row r="3" spans="1:51" x14ac:dyDescent="0.2">
      <c r="A3" t="s">
        <v>78</v>
      </c>
      <c r="B3" s="10">
        <v>51.822516999999998</v>
      </c>
      <c r="C3" s="10">
        <v>-1.3022499999999999</v>
      </c>
      <c r="D3" t="s">
        <v>135</v>
      </c>
      <c r="E3" t="s">
        <v>79</v>
      </c>
      <c r="F3">
        <v>8</v>
      </c>
      <c r="G3">
        <v>3</v>
      </c>
      <c r="H3">
        <f t="shared" si="0"/>
        <v>24</v>
      </c>
      <c r="I3">
        <f t="shared" ref="I3:I66" si="2">SUM(P3:AH3)</f>
        <v>71</v>
      </c>
      <c r="J3">
        <f t="shared" si="1"/>
        <v>8</v>
      </c>
      <c r="K3">
        <v>150</v>
      </c>
      <c r="L3" t="s">
        <v>80</v>
      </c>
      <c r="M3" t="s">
        <v>81</v>
      </c>
      <c r="N3" t="s">
        <v>75</v>
      </c>
      <c r="O3" t="s">
        <v>77</v>
      </c>
      <c r="P3">
        <v>2</v>
      </c>
      <c r="Q3">
        <v>7</v>
      </c>
      <c r="R3">
        <v>0</v>
      </c>
      <c r="S3">
        <v>0</v>
      </c>
      <c r="T3">
        <v>0</v>
      </c>
      <c r="U3">
        <v>0</v>
      </c>
      <c r="V3">
        <v>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24</v>
      </c>
      <c r="AD3">
        <v>0</v>
      </c>
      <c r="AE3">
        <v>1</v>
      </c>
      <c r="AF3">
        <v>3</v>
      </c>
      <c r="AG3">
        <v>3</v>
      </c>
      <c r="AH3" s="15">
        <v>27</v>
      </c>
    </row>
    <row r="4" spans="1:51" x14ac:dyDescent="0.2">
      <c r="A4" t="s">
        <v>82</v>
      </c>
      <c r="B4" s="10">
        <v>51.823616999999999</v>
      </c>
      <c r="C4" s="10">
        <v>-1.3056000000000001</v>
      </c>
      <c r="D4" t="s">
        <v>135</v>
      </c>
      <c r="E4" t="s">
        <v>73</v>
      </c>
      <c r="F4">
        <v>6</v>
      </c>
      <c r="G4">
        <v>3</v>
      </c>
      <c r="H4">
        <f t="shared" si="0"/>
        <v>18</v>
      </c>
      <c r="I4">
        <f t="shared" si="2"/>
        <v>77</v>
      </c>
      <c r="J4">
        <f t="shared" si="1"/>
        <v>8</v>
      </c>
      <c r="K4">
        <v>179</v>
      </c>
      <c r="L4" t="s">
        <v>83</v>
      </c>
      <c r="M4" t="s">
        <v>84</v>
      </c>
      <c r="N4" t="s">
        <v>85</v>
      </c>
      <c r="O4" t="s">
        <v>86</v>
      </c>
      <c r="P4">
        <v>2</v>
      </c>
      <c r="Q4">
        <v>16</v>
      </c>
      <c r="R4">
        <v>0</v>
      </c>
      <c r="S4">
        <v>0</v>
      </c>
      <c r="T4">
        <v>0</v>
      </c>
      <c r="U4">
        <v>0</v>
      </c>
      <c r="V4">
        <v>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14</v>
      </c>
      <c r="AD4">
        <v>0</v>
      </c>
      <c r="AE4">
        <v>1</v>
      </c>
      <c r="AF4">
        <v>14</v>
      </c>
      <c r="AG4">
        <v>1</v>
      </c>
      <c r="AH4" s="15">
        <v>25</v>
      </c>
    </row>
    <row r="5" spans="1:51" x14ac:dyDescent="0.2">
      <c r="A5" t="s">
        <v>87</v>
      </c>
      <c r="B5" s="10">
        <v>51.822032999999998</v>
      </c>
      <c r="C5" s="10">
        <v>-1.30945</v>
      </c>
      <c r="D5" t="s">
        <v>135</v>
      </c>
      <c r="E5" t="s">
        <v>73</v>
      </c>
      <c r="F5">
        <v>6</v>
      </c>
      <c r="G5">
        <v>3</v>
      </c>
      <c r="H5">
        <f t="shared" si="0"/>
        <v>18</v>
      </c>
      <c r="I5">
        <f t="shared" si="2"/>
        <v>79</v>
      </c>
      <c r="J5">
        <f t="shared" si="1"/>
        <v>8</v>
      </c>
      <c r="K5">
        <v>88</v>
      </c>
      <c r="L5" t="s">
        <v>88</v>
      </c>
      <c r="M5" t="s">
        <v>81</v>
      </c>
      <c r="N5" t="s">
        <v>89</v>
      </c>
      <c r="O5" t="s">
        <v>86</v>
      </c>
      <c r="P5">
        <v>9</v>
      </c>
      <c r="Q5">
        <v>4</v>
      </c>
      <c r="R5">
        <v>0</v>
      </c>
      <c r="S5">
        <v>0</v>
      </c>
      <c r="T5">
        <v>0</v>
      </c>
      <c r="U5">
        <v>0</v>
      </c>
      <c r="V5">
        <v>11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21</v>
      </c>
      <c r="AD5">
        <v>0</v>
      </c>
      <c r="AE5">
        <v>0</v>
      </c>
      <c r="AF5">
        <v>2</v>
      </c>
      <c r="AG5">
        <v>10</v>
      </c>
      <c r="AH5" s="15">
        <v>21</v>
      </c>
    </row>
    <row r="6" spans="1:51" x14ac:dyDescent="0.2">
      <c r="A6" t="s">
        <v>90</v>
      </c>
      <c r="B6" s="10">
        <v>51.820900000000002</v>
      </c>
      <c r="C6" s="10">
        <v>-1.3093669999999999</v>
      </c>
      <c r="D6" t="s">
        <v>135</v>
      </c>
      <c r="E6" t="s">
        <v>91</v>
      </c>
      <c r="F6">
        <v>2</v>
      </c>
      <c r="G6">
        <v>2</v>
      </c>
      <c r="H6">
        <f t="shared" si="0"/>
        <v>4</v>
      </c>
      <c r="I6">
        <f t="shared" si="2"/>
        <v>178</v>
      </c>
      <c r="J6">
        <f t="shared" si="1"/>
        <v>10</v>
      </c>
      <c r="K6">
        <v>255</v>
      </c>
      <c r="L6" t="s">
        <v>92</v>
      </c>
      <c r="M6" t="s">
        <v>85</v>
      </c>
      <c r="N6" t="s">
        <v>84</v>
      </c>
      <c r="O6" t="s">
        <v>86</v>
      </c>
      <c r="P6">
        <v>1</v>
      </c>
      <c r="Q6">
        <v>6</v>
      </c>
      <c r="R6">
        <v>1</v>
      </c>
      <c r="S6">
        <v>0</v>
      </c>
      <c r="T6">
        <v>0</v>
      </c>
      <c r="U6">
        <v>0</v>
      </c>
      <c r="V6">
        <v>70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8</v>
      </c>
      <c r="AD6">
        <v>0</v>
      </c>
      <c r="AE6">
        <v>52</v>
      </c>
      <c r="AF6">
        <v>7</v>
      </c>
      <c r="AG6">
        <v>3</v>
      </c>
      <c r="AH6" s="15">
        <v>29</v>
      </c>
    </row>
    <row r="7" spans="1:51" x14ac:dyDescent="0.2">
      <c r="A7" t="s">
        <v>93</v>
      </c>
      <c r="B7" s="10">
        <v>51.818367000000002</v>
      </c>
      <c r="C7" s="10">
        <v>-1.3125830000000001</v>
      </c>
      <c r="D7" t="s">
        <v>135</v>
      </c>
      <c r="E7" t="s">
        <v>73</v>
      </c>
      <c r="F7">
        <v>6</v>
      </c>
      <c r="G7">
        <v>2</v>
      </c>
      <c r="H7">
        <f t="shared" si="0"/>
        <v>12</v>
      </c>
      <c r="I7">
        <f t="shared" si="2"/>
        <v>207</v>
      </c>
      <c r="J7">
        <f t="shared" si="1"/>
        <v>9</v>
      </c>
      <c r="K7">
        <v>255</v>
      </c>
      <c r="L7" t="s">
        <v>92</v>
      </c>
      <c r="M7" t="s">
        <v>75</v>
      </c>
      <c r="N7" t="s">
        <v>85</v>
      </c>
      <c r="O7" t="s">
        <v>94</v>
      </c>
      <c r="P7">
        <v>0</v>
      </c>
      <c r="Q7">
        <v>8</v>
      </c>
      <c r="R7">
        <v>5</v>
      </c>
      <c r="S7">
        <v>2</v>
      </c>
      <c r="T7">
        <v>1</v>
      </c>
      <c r="U7">
        <v>2</v>
      </c>
      <c r="V7">
        <v>136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13</v>
      </c>
      <c r="AD7">
        <v>0</v>
      </c>
      <c r="AE7">
        <v>0</v>
      </c>
      <c r="AF7">
        <v>0</v>
      </c>
      <c r="AG7">
        <v>4</v>
      </c>
      <c r="AH7" s="15">
        <v>36</v>
      </c>
    </row>
    <row r="8" spans="1:51" x14ac:dyDescent="0.2">
      <c r="A8" t="s">
        <v>95</v>
      </c>
      <c r="B8" s="10">
        <v>51.817667</v>
      </c>
      <c r="C8" s="10">
        <v>-1.314683</v>
      </c>
      <c r="D8" t="s">
        <v>135</v>
      </c>
      <c r="E8" t="s">
        <v>96</v>
      </c>
      <c r="F8">
        <v>4</v>
      </c>
      <c r="G8">
        <v>3</v>
      </c>
      <c r="H8">
        <f t="shared" si="0"/>
        <v>12</v>
      </c>
      <c r="I8">
        <f t="shared" si="2"/>
        <v>29</v>
      </c>
      <c r="J8">
        <f t="shared" si="1"/>
        <v>7</v>
      </c>
      <c r="K8">
        <v>2</v>
      </c>
      <c r="L8" t="s">
        <v>97</v>
      </c>
      <c r="M8" t="s">
        <v>84</v>
      </c>
      <c r="N8" t="s">
        <v>84</v>
      </c>
      <c r="O8" t="s">
        <v>94</v>
      </c>
      <c r="P8">
        <v>1</v>
      </c>
      <c r="Q8">
        <v>7</v>
      </c>
      <c r="R8">
        <v>0</v>
      </c>
      <c r="S8">
        <v>0</v>
      </c>
      <c r="T8">
        <v>0</v>
      </c>
      <c r="U8">
        <v>0</v>
      </c>
      <c r="V8">
        <v>6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3</v>
      </c>
      <c r="AH8" s="15">
        <v>9</v>
      </c>
    </row>
    <row r="9" spans="1:51" x14ac:dyDescent="0.2">
      <c r="A9" t="s">
        <v>98</v>
      </c>
      <c r="B9" s="10">
        <v>51.817332999999998</v>
      </c>
      <c r="C9" s="10">
        <v>-1.3145</v>
      </c>
      <c r="D9" t="s">
        <v>135</v>
      </c>
      <c r="E9" t="s">
        <v>73</v>
      </c>
      <c r="F9">
        <v>6</v>
      </c>
      <c r="G9">
        <v>3</v>
      </c>
      <c r="H9">
        <f t="shared" si="0"/>
        <v>18</v>
      </c>
      <c r="I9">
        <f t="shared" si="2"/>
        <v>95</v>
      </c>
      <c r="J9">
        <f t="shared" si="1"/>
        <v>8</v>
      </c>
      <c r="K9">
        <v>171</v>
      </c>
      <c r="L9" t="s">
        <v>83</v>
      </c>
      <c r="M9" t="s">
        <v>81</v>
      </c>
      <c r="N9" t="s">
        <v>89</v>
      </c>
      <c r="O9" t="s">
        <v>99</v>
      </c>
      <c r="P9">
        <v>1</v>
      </c>
      <c r="Q9">
        <v>13</v>
      </c>
      <c r="R9">
        <v>0</v>
      </c>
      <c r="S9">
        <v>0</v>
      </c>
      <c r="T9">
        <v>0</v>
      </c>
      <c r="U9">
        <v>0</v>
      </c>
      <c r="V9">
        <v>26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17</v>
      </c>
      <c r="AD9">
        <v>0</v>
      </c>
      <c r="AE9">
        <v>4</v>
      </c>
      <c r="AF9">
        <v>12</v>
      </c>
      <c r="AG9">
        <v>4</v>
      </c>
      <c r="AH9" s="15">
        <v>18</v>
      </c>
    </row>
    <row r="10" spans="1:51" x14ac:dyDescent="0.2">
      <c r="A10" t="s">
        <v>100</v>
      </c>
      <c r="B10" s="10">
        <v>51.816682999999998</v>
      </c>
      <c r="C10" s="10">
        <v>-1.31325</v>
      </c>
      <c r="D10" t="s">
        <v>135</v>
      </c>
      <c r="E10" t="s">
        <v>73</v>
      </c>
      <c r="F10">
        <v>6</v>
      </c>
      <c r="G10">
        <v>2</v>
      </c>
      <c r="H10">
        <f t="shared" si="0"/>
        <v>12</v>
      </c>
      <c r="I10">
        <f t="shared" si="2"/>
        <v>158</v>
      </c>
      <c r="J10">
        <f t="shared" si="1"/>
        <v>9</v>
      </c>
      <c r="K10">
        <v>268</v>
      </c>
      <c r="L10" t="s">
        <v>92</v>
      </c>
      <c r="M10" t="s">
        <v>75</v>
      </c>
      <c r="N10" t="s">
        <v>89</v>
      </c>
      <c r="O10" t="s">
        <v>94</v>
      </c>
      <c r="P10">
        <v>5</v>
      </c>
      <c r="Q10">
        <v>13</v>
      </c>
      <c r="R10">
        <v>0</v>
      </c>
      <c r="S10">
        <v>0</v>
      </c>
      <c r="T10">
        <v>0</v>
      </c>
      <c r="U10">
        <v>0</v>
      </c>
      <c r="V10">
        <v>36</v>
      </c>
      <c r="W10">
        <v>0</v>
      </c>
      <c r="X10">
        <v>0</v>
      </c>
      <c r="Y10">
        <v>3</v>
      </c>
      <c r="Z10">
        <v>0</v>
      </c>
      <c r="AA10">
        <v>0</v>
      </c>
      <c r="AB10">
        <v>0</v>
      </c>
      <c r="AC10">
        <v>47</v>
      </c>
      <c r="AD10">
        <v>0</v>
      </c>
      <c r="AE10">
        <v>8</v>
      </c>
      <c r="AF10">
        <v>10</v>
      </c>
      <c r="AG10">
        <v>5</v>
      </c>
      <c r="AH10" s="15">
        <v>31</v>
      </c>
    </row>
    <row r="11" spans="1:51" x14ac:dyDescent="0.2">
      <c r="A11" t="s">
        <v>101</v>
      </c>
      <c r="B11" s="10">
        <v>51.815100000000001</v>
      </c>
      <c r="C11" s="10">
        <v>-1.313367</v>
      </c>
      <c r="D11" t="s">
        <v>135</v>
      </c>
      <c r="E11" t="s">
        <v>102</v>
      </c>
      <c r="F11">
        <v>1</v>
      </c>
      <c r="G11">
        <v>3</v>
      </c>
      <c r="H11">
        <f t="shared" si="0"/>
        <v>3</v>
      </c>
      <c r="I11">
        <f t="shared" si="2"/>
        <v>26</v>
      </c>
      <c r="J11">
        <f t="shared" si="1"/>
        <v>6</v>
      </c>
      <c r="K11">
        <v>333</v>
      </c>
      <c r="L11" t="s">
        <v>103</v>
      </c>
      <c r="M11" t="s">
        <v>104</v>
      </c>
      <c r="N11" t="s">
        <v>84</v>
      </c>
      <c r="O11" t="s">
        <v>94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18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3</v>
      </c>
      <c r="AH11" s="15">
        <v>1</v>
      </c>
    </row>
    <row r="12" spans="1:51" x14ac:dyDescent="0.2">
      <c r="A12" t="s">
        <v>105</v>
      </c>
      <c r="B12" s="10">
        <v>51.817749999999997</v>
      </c>
      <c r="C12" s="10">
        <v>-1.310883</v>
      </c>
      <c r="D12" t="s">
        <v>135</v>
      </c>
      <c r="E12" t="s">
        <v>96</v>
      </c>
      <c r="F12">
        <v>4</v>
      </c>
      <c r="G12">
        <v>3</v>
      </c>
      <c r="H12">
        <f t="shared" si="0"/>
        <v>12</v>
      </c>
      <c r="I12">
        <f t="shared" si="2"/>
        <v>91</v>
      </c>
      <c r="J12">
        <f t="shared" si="1"/>
        <v>9</v>
      </c>
      <c r="K12">
        <v>0</v>
      </c>
      <c r="L12" t="s">
        <v>97</v>
      </c>
      <c r="M12" t="s">
        <v>85</v>
      </c>
      <c r="N12" t="s">
        <v>84</v>
      </c>
      <c r="O12" t="s">
        <v>94</v>
      </c>
      <c r="P12">
        <v>0</v>
      </c>
      <c r="Q12">
        <v>3</v>
      </c>
      <c r="R12">
        <v>5</v>
      </c>
      <c r="S12">
        <v>0</v>
      </c>
      <c r="T12">
        <v>0</v>
      </c>
      <c r="U12">
        <v>0</v>
      </c>
      <c r="V12">
        <v>41</v>
      </c>
      <c r="W12">
        <v>0</v>
      </c>
      <c r="X12">
        <v>0</v>
      </c>
      <c r="Y12">
        <v>3</v>
      </c>
      <c r="Z12">
        <v>0</v>
      </c>
      <c r="AA12">
        <v>0</v>
      </c>
      <c r="AB12">
        <v>0</v>
      </c>
      <c r="AC12">
        <v>7</v>
      </c>
      <c r="AD12">
        <v>0</v>
      </c>
      <c r="AE12">
        <v>2</v>
      </c>
      <c r="AF12">
        <v>3</v>
      </c>
      <c r="AG12">
        <v>4</v>
      </c>
      <c r="AH12" s="15">
        <v>23</v>
      </c>
    </row>
    <row r="13" spans="1:51" x14ac:dyDescent="0.2">
      <c r="A13" t="s">
        <v>106</v>
      </c>
      <c r="B13" s="10">
        <v>51.816133000000001</v>
      </c>
      <c r="C13" s="10">
        <v>-1.3091330000000001</v>
      </c>
      <c r="D13" t="s">
        <v>135</v>
      </c>
      <c r="E13" t="s">
        <v>96</v>
      </c>
      <c r="F13">
        <v>4</v>
      </c>
      <c r="G13">
        <v>3</v>
      </c>
      <c r="H13">
        <f t="shared" si="0"/>
        <v>12</v>
      </c>
      <c r="I13">
        <f t="shared" si="2"/>
        <v>98</v>
      </c>
      <c r="J13">
        <f t="shared" si="1"/>
        <v>9</v>
      </c>
      <c r="K13">
        <v>358</v>
      </c>
      <c r="L13" t="s">
        <v>97</v>
      </c>
      <c r="M13" t="s">
        <v>85</v>
      </c>
      <c r="N13" t="s">
        <v>85</v>
      </c>
      <c r="O13" t="s">
        <v>94</v>
      </c>
      <c r="P13">
        <v>0</v>
      </c>
      <c r="Q13">
        <v>6</v>
      </c>
      <c r="R13">
        <v>2</v>
      </c>
      <c r="S13">
        <v>0</v>
      </c>
      <c r="T13">
        <v>0</v>
      </c>
      <c r="U13">
        <v>0</v>
      </c>
      <c r="V13">
        <v>40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27</v>
      </c>
      <c r="AD13">
        <v>0</v>
      </c>
      <c r="AE13">
        <v>3</v>
      </c>
      <c r="AF13">
        <v>3</v>
      </c>
      <c r="AG13">
        <v>3</v>
      </c>
      <c r="AH13" s="15">
        <v>13</v>
      </c>
    </row>
    <row r="14" spans="1:51" x14ac:dyDescent="0.2">
      <c r="A14" t="s">
        <v>107</v>
      </c>
      <c r="B14" s="10">
        <v>51.815100000000001</v>
      </c>
      <c r="C14" s="10">
        <v>-1.307833</v>
      </c>
      <c r="D14" t="s">
        <v>135</v>
      </c>
      <c r="E14" t="s">
        <v>96</v>
      </c>
      <c r="F14">
        <v>4</v>
      </c>
      <c r="G14">
        <v>3</v>
      </c>
      <c r="H14">
        <f t="shared" si="0"/>
        <v>12</v>
      </c>
      <c r="I14">
        <f t="shared" si="2"/>
        <v>54</v>
      </c>
      <c r="J14">
        <f t="shared" si="1"/>
        <v>9</v>
      </c>
      <c r="K14">
        <v>4</v>
      </c>
      <c r="L14" t="s">
        <v>97</v>
      </c>
      <c r="M14" t="s">
        <v>84</v>
      </c>
      <c r="N14" t="s">
        <v>84</v>
      </c>
      <c r="O14" t="s">
        <v>108</v>
      </c>
      <c r="P14">
        <v>2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24</v>
      </c>
      <c r="AD14">
        <v>0</v>
      </c>
      <c r="AE14">
        <v>1</v>
      </c>
      <c r="AF14">
        <v>1</v>
      </c>
      <c r="AG14">
        <v>4</v>
      </c>
      <c r="AH14" s="15">
        <v>19</v>
      </c>
    </row>
    <row r="15" spans="1:51" x14ac:dyDescent="0.2">
      <c r="A15" t="s">
        <v>109</v>
      </c>
      <c r="B15" s="10">
        <v>51.816766999999999</v>
      </c>
      <c r="C15" s="10">
        <v>-1.3060499999999999</v>
      </c>
      <c r="D15" t="s">
        <v>135</v>
      </c>
      <c r="E15" t="s">
        <v>110</v>
      </c>
      <c r="F15">
        <v>2</v>
      </c>
      <c r="G15">
        <v>2</v>
      </c>
      <c r="H15">
        <f t="shared" si="0"/>
        <v>4</v>
      </c>
      <c r="I15">
        <f t="shared" si="2"/>
        <v>47</v>
      </c>
      <c r="J15">
        <f t="shared" si="1"/>
        <v>5</v>
      </c>
      <c r="K15">
        <v>268</v>
      </c>
      <c r="L15" t="s">
        <v>92</v>
      </c>
      <c r="M15" t="s">
        <v>104</v>
      </c>
      <c r="N15" t="s">
        <v>104</v>
      </c>
      <c r="O15" t="s">
        <v>99</v>
      </c>
      <c r="P15">
        <v>0</v>
      </c>
      <c r="Q15">
        <v>13</v>
      </c>
      <c r="R15">
        <v>0</v>
      </c>
      <c r="S15">
        <v>0</v>
      </c>
      <c r="T15">
        <v>0</v>
      </c>
      <c r="U15">
        <v>0</v>
      </c>
      <c r="V15">
        <v>21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</v>
      </c>
      <c r="AD15">
        <v>0</v>
      </c>
      <c r="AE15">
        <v>1</v>
      </c>
      <c r="AF15">
        <v>0</v>
      </c>
      <c r="AG15">
        <v>0</v>
      </c>
      <c r="AH15" s="15">
        <v>7</v>
      </c>
    </row>
    <row r="16" spans="1:51" x14ac:dyDescent="0.2">
      <c r="A16" t="s">
        <v>111</v>
      </c>
      <c r="B16" s="10">
        <v>51.816682999999998</v>
      </c>
      <c r="C16" s="10">
        <v>-1.305917</v>
      </c>
      <c r="D16" t="s">
        <v>135</v>
      </c>
      <c r="E16" t="s">
        <v>110</v>
      </c>
      <c r="F16">
        <v>2</v>
      </c>
      <c r="G16">
        <v>2</v>
      </c>
      <c r="H16">
        <f t="shared" si="0"/>
        <v>4</v>
      </c>
      <c r="I16">
        <f t="shared" si="2"/>
        <v>113</v>
      </c>
      <c r="J16">
        <f t="shared" si="1"/>
        <v>10</v>
      </c>
      <c r="K16">
        <v>84</v>
      </c>
      <c r="L16" t="s">
        <v>88</v>
      </c>
      <c r="M16" t="s">
        <v>104</v>
      </c>
      <c r="N16" t="s">
        <v>104</v>
      </c>
      <c r="O16" t="s">
        <v>99</v>
      </c>
      <c r="P16">
        <v>2</v>
      </c>
      <c r="Q16">
        <v>9</v>
      </c>
      <c r="R16">
        <v>0</v>
      </c>
      <c r="S16">
        <v>0</v>
      </c>
      <c r="T16">
        <v>0</v>
      </c>
      <c r="U16">
        <v>1</v>
      </c>
      <c r="V16">
        <v>59</v>
      </c>
      <c r="W16">
        <v>0</v>
      </c>
      <c r="X16">
        <v>0</v>
      </c>
      <c r="Y16">
        <v>4</v>
      </c>
      <c r="Z16">
        <v>0</v>
      </c>
      <c r="AA16">
        <v>0</v>
      </c>
      <c r="AB16">
        <v>0</v>
      </c>
      <c r="AC16">
        <v>13</v>
      </c>
      <c r="AD16">
        <v>0</v>
      </c>
      <c r="AE16">
        <v>1</v>
      </c>
      <c r="AF16">
        <v>4</v>
      </c>
      <c r="AG16">
        <v>4</v>
      </c>
      <c r="AH16" s="15">
        <v>16</v>
      </c>
    </row>
    <row r="17" spans="1:34" x14ac:dyDescent="0.2">
      <c r="A17" t="s">
        <v>112</v>
      </c>
      <c r="B17" s="10">
        <v>51.815632999999998</v>
      </c>
      <c r="C17" s="10">
        <v>-1.2991999999999999</v>
      </c>
      <c r="D17" t="s">
        <v>135</v>
      </c>
      <c r="E17" t="s">
        <v>96</v>
      </c>
      <c r="F17">
        <v>4</v>
      </c>
      <c r="G17">
        <v>3</v>
      </c>
      <c r="H17">
        <f t="shared" si="0"/>
        <v>12</v>
      </c>
      <c r="I17">
        <f t="shared" si="2"/>
        <v>187</v>
      </c>
      <c r="J17">
        <f t="shared" si="1"/>
        <v>9</v>
      </c>
      <c r="K17">
        <v>179</v>
      </c>
      <c r="L17" t="s">
        <v>83</v>
      </c>
      <c r="M17" t="s">
        <v>84</v>
      </c>
      <c r="N17" t="s">
        <v>85</v>
      </c>
      <c r="O17" t="s">
        <v>113</v>
      </c>
      <c r="P17">
        <v>0</v>
      </c>
      <c r="Q17">
        <v>79</v>
      </c>
      <c r="R17">
        <v>1</v>
      </c>
      <c r="S17">
        <v>0</v>
      </c>
      <c r="T17">
        <v>0</v>
      </c>
      <c r="U17">
        <v>1</v>
      </c>
      <c r="V17">
        <v>54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</v>
      </c>
      <c r="AD17">
        <v>0</v>
      </c>
      <c r="AE17">
        <v>4</v>
      </c>
      <c r="AF17">
        <v>1</v>
      </c>
      <c r="AG17">
        <v>1</v>
      </c>
      <c r="AH17" s="15">
        <v>38</v>
      </c>
    </row>
    <row r="18" spans="1:34" x14ac:dyDescent="0.2">
      <c r="A18" t="s">
        <v>114</v>
      </c>
      <c r="B18" s="10">
        <v>51.815617000000003</v>
      </c>
      <c r="C18" s="10">
        <v>-1.3024169999999999</v>
      </c>
      <c r="D18" t="s">
        <v>135</v>
      </c>
      <c r="E18" t="s">
        <v>73</v>
      </c>
      <c r="F18">
        <v>6</v>
      </c>
      <c r="G18">
        <v>3</v>
      </c>
      <c r="H18">
        <f t="shared" si="0"/>
        <v>18</v>
      </c>
      <c r="I18">
        <f t="shared" si="2"/>
        <v>54</v>
      </c>
      <c r="J18">
        <f t="shared" si="1"/>
        <v>6</v>
      </c>
      <c r="K18">
        <v>182</v>
      </c>
      <c r="L18" t="s">
        <v>83</v>
      </c>
      <c r="M18" t="s">
        <v>85</v>
      </c>
      <c r="N18" t="s">
        <v>85</v>
      </c>
      <c r="O18" t="s">
        <v>115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12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3</v>
      </c>
      <c r="AD18">
        <v>0</v>
      </c>
      <c r="AE18">
        <v>2</v>
      </c>
      <c r="AF18">
        <v>0</v>
      </c>
      <c r="AG18">
        <v>0</v>
      </c>
      <c r="AH18" s="15">
        <v>34</v>
      </c>
    </row>
    <row r="19" spans="1:34" x14ac:dyDescent="0.2">
      <c r="A19" t="s">
        <v>116</v>
      </c>
      <c r="B19" s="10">
        <v>51.813732999999999</v>
      </c>
      <c r="C19" s="10">
        <v>-1.3007169999999999</v>
      </c>
      <c r="D19" t="s">
        <v>135</v>
      </c>
      <c r="E19" t="s">
        <v>96</v>
      </c>
      <c r="F19">
        <v>4</v>
      </c>
      <c r="G19">
        <v>2</v>
      </c>
      <c r="H19">
        <f t="shared" si="0"/>
        <v>8</v>
      </c>
      <c r="I19">
        <f t="shared" si="2"/>
        <v>131</v>
      </c>
      <c r="J19">
        <f t="shared" si="1"/>
        <v>9</v>
      </c>
      <c r="K19">
        <v>165</v>
      </c>
      <c r="L19" t="s">
        <v>83</v>
      </c>
      <c r="M19" t="s">
        <v>76</v>
      </c>
      <c r="N19" t="s">
        <v>84</v>
      </c>
      <c r="O19" t="s">
        <v>86</v>
      </c>
      <c r="P19">
        <v>4</v>
      </c>
      <c r="Q19">
        <v>7</v>
      </c>
      <c r="R19">
        <v>0</v>
      </c>
      <c r="S19">
        <v>0</v>
      </c>
      <c r="T19">
        <v>6</v>
      </c>
      <c r="U19">
        <v>0</v>
      </c>
      <c r="V19">
        <v>17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6</v>
      </c>
      <c r="AD19">
        <v>0</v>
      </c>
      <c r="AE19">
        <v>49</v>
      </c>
      <c r="AF19">
        <v>0</v>
      </c>
      <c r="AG19">
        <v>2</v>
      </c>
      <c r="AH19" s="15">
        <v>39</v>
      </c>
    </row>
    <row r="20" spans="1:34" x14ac:dyDescent="0.2">
      <c r="A20" t="s">
        <v>117</v>
      </c>
      <c r="B20" s="10">
        <v>51.810867000000002</v>
      </c>
      <c r="C20" s="10">
        <v>-1.3022</v>
      </c>
      <c r="D20" t="s">
        <v>135</v>
      </c>
      <c r="E20" t="s">
        <v>79</v>
      </c>
      <c r="F20">
        <v>8</v>
      </c>
      <c r="G20">
        <v>3</v>
      </c>
      <c r="H20">
        <f t="shared" si="0"/>
        <v>24</v>
      </c>
      <c r="I20">
        <f t="shared" si="2"/>
        <v>60</v>
      </c>
      <c r="J20">
        <f t="shared" si="1"/>
        <v>10</v>
      </c>
      <c r="K20">
        <v>314</v>
      </c>
      <c r="L20" t="s">
        <v>103</v>
      </c>
      <c r="M20" t="s">
        <v>118</v>
      </c>
      <c r="N20" t="s">
        <v>75</v>
      </c>
      <c r="O20" t="s">
        <v>86</v>
      </c>
      <c r="P20">
        <v>5</v>
      </c>
      <c r="Q20">
        <v>9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16</v>
      </c>
      <c r="AD20">
        <v>0</v>
      </c>
      <c r="AE20">
        <v>3</v>
      </c>
      <c r="AF20">
        <v>2</v>
      </c>
      <c r="AG20">
        <v>5</v>
      </c>
      <c r="AH20" s="15">
        <v>17</v>
      </c>
    </row>
    <row r="21" spans="1:34" x14ac:dyDescent="0.2">
      <c r="A21" t="s">
        <v>119</v>
      </c>
      <c r="B21" s="10">
        <v>51.818550000000002</v>
      </c>
      <c r="C21" s="10">
        <v>-1.2959670000000001</v>
      </c>
      <c r="D21" t="s">
        <v>135</v>
      </c>
      <c r="E21" t="s">
        <v>79</v>
      </c>
      <c r="F21">
        <v>8</v>
      </c>
      <c r="G21">
        <v>3</v>
      </c>
      <c r="H21">
        <f t="shared" si="0"/>
        <v>24</v>
      </c>
      <c r="I21">
        <f t="shared" si="2"/>
        <v>78</v>
      </c>
      <c r="J21">
        <f t="shared" si="1"/>
        <v>9</v>
      </c>
      <c r="K21">
        <v>211</v>
      </c>
      <c r="L21" t="s">
        <v>74</v>
      </c>
      <c r="M21" t="s">
        <v>118</v>
      </c>
      <c r="N21" t="s">
        <v>89</v>
      </c>
      <c r="O21" t="s">
        <v>115</v>
      </c>
      <c r="P21">
        <v>3</v>
      </c>
      <c r="Q21">
        <v>20</v>
      </c>
      <c r="R21">
        <v>0</v>
      </c>
      <c r="S21">
        <v>0</v>
      </c>
      <c r="T21">
        <v>0</v>
      </c>
      <c r="U21">
        <v>0</v>
      </c>
      <c r="V21">
        <v>17</v>
      </c>
      <c r="W21">
        <v>0</v>
      </c>
      <c r="X21">
        <v>0</v>
      </c>
      <c r="Y21">
        <v>4</v>
      </c>
      <c r="Z21">
        <v>3</v>
      </c>
      <c r="AA21">
        <v>0</v>
      </c>
      <c r="AB21">
        <v>0</v>
      </c>
      <c r="AC21">
        <v>8</v>
      </c>
      <c r="AD21">
        <v>0</v>
      </c>
      <c r="AE21">
        <v>5</v>
      </c>
      <c r="AF21">
        <v>2</v>
      </c>
      <c r="AG21">
        <v>0</v>
      </c>
      <c r="AH21" s="15">
        <v>16</v>
      </c>
    </row>
    <row r="22" spans="1:34" x14ac:dyDescent="0.2">
      <c r="A22" t="s">
        <v>120</v>
      </c>
      <c r="B22" s="10">
        <v>51.816716999999997</v>
      </c>
      <c r="C22" s="10">
        <v>-1.293917</v>
      </c>
      <c r="D22" t="s">
        <v>135</v>
      </c>
      <c r="E22" t="s">
        <v>79</v>
      </c>
      <c r="F22">
        <v>8</v>
      </c>
      <c r="G22">
        <v>2</v>
      </c>
      <c r="H22">
        <f t="shared" si="0"/>
        <v>16</v>
      </c>
      <c r="I22">
        <f t="shared" si="2"/>
        <v>74</v>
      </c>
      <c r="J22">
        <f t="shared" si="1"/>
        <v>8</v>
      </c>
      <c r="K22">
        <v>174</v>
      </c>
      <c r="L22" t="s">
        <v>83</v>
      </c>
      <c r="M22" t="s">
        <v>89</v>
      </c>
      <c r="N22" t="s">
        <v>85</v>
      </c>
      <c r="O22" t="s">
        <v>121</v>
      </c>
      <c r="P22">
        <v>4</v>
      </c>
      <c r="Q22">
        <v>5</v>
      </c>
      <c r="R22">
        <v>3</v>
      </c>
      <c r="S22">
        <v>0</v>
      </c>
      <c r="T22">
        <v>0</v>
      </c>
      <c r="U22">
        <v>0</v>
      </c>
      <c r="V22">
        <v>24</v>
      </c>
      <c r="W22">
        <v>0</v>
      </c>
      <c r="X22">
        <v>0</v>
      </c>
      <c r="Y22">
        <v>5</v>
      </c>
      <c r="Z22">
        <v>0</v>
      </c>
      <c r="AA22">
        <v>0</v>
      </c>
      <c r="AB22">
        <v>0</v>
      </c>
      <c r="AC22">
        <v>19</v>
      </c>
      <c r="AD22">
        <v>0</v>
      </c>
      <c r="AE22">
        <v>0</v>
      </c>
      <c r="AF22">
        <v>2</v>
      </c>
      <c r="AG22">
        <v>0</v>
      </c>
      <c r="AH22" s="15">
        <v>12</v>
      </c>
    </row>
    <row r="23" spans="1:34" x14ac:dyDescent="0.2">
      <c r="A23" t="s">
        <v>122</v>
      </c>
      <c r="B23" s="10">
        <v>51.815533000000002</v>
      </c>
      <c r="C23" s="10">
        <v>-1.2947500000000001</v>
      </c>
      <c r="D23" t="s">
        <v>135</v>
      </c>
      <c r="E23" t="s">
        <v>73</v>
      </c>
      <c r="F23">
        <v>6</v>
      </c>
      <c r="G23">
        <v>3</v>
      </c>
      <c r="H23">
        <f t="shared" si="0"/>
        <v>18</v>
      </c>
      <c r="I23">
        <f t="shared" si="2"/>
        <v>66</v>
      </c>
      <c r="J23">
        <f t="shared" si="1"/>
        <v>10</v>
      </c>
      <c r="K23">
        <v>350</v>
      </c>
      <c r="L23" t="s">
        <v>97</v>
      </c>
      <c r="M23" t="s">
        <v>89</v>
      </c>
      <c r="N23" t="s">
        <v>85</v>
      </c>
      <c r="O23" t="s">
        <v>121</v>
      </c>
      <c r="P23">
        <v>5</v>
      </c>
      <c r="Q23">
        <v>23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2</v>
      </c>
      <c r="Z23">
        <v>2</v>
      </c>
      <c r="AA23">
        <v>0</v>
      </c>
      <c r="AB23">
        <v>0</v>
      </c>
      <c r="AC23">
        <v>17</v>
      </c>
      <c r="AD23">
        <v>0</v>
      </c>
      <c r="AE23">
        <v>1</v>
      </c>
      <c r="AF23">
        <v>2</v>
      </c>
      <c r="AG23">
        <v>4</v>
      </c>
      <c r="AH23" s="15">
        <v>8</v>
      </c>
    </row>
    <row r="24" spans="1:34" x14ac:dyDescent="0.2">
      <c r="A24" s="12" t="s">
        <v>123</v>
      </c>
      <c r="B24" s="10">
        <v>51.815832999999998</v>
      </c>
      <c r="C24" s="10">
        <v>-1.29295</v>
      </c>
      <c r="D24" t="s">
        <v>135</v>
      </c>
      <c r="E24" t="s">
        <v>73</v>
      </c>
      <c r="F24">
        <v>6</v>
      </c>
      <c r="G24">
        <v>3</v>
      </c>
      <c r="H24">
        <f t="shared" si="0"/>
        <v>18</v>
      </c>
      <c r="I24">
        <f t="shared" si="2"/>
        <v>0</v>
      </c>
      <c r="J24">
        <f t="shared" si="1"/>
        <v>0</v>
      </c>
      <c r="K24">
        <v>161</v>
      </c>
      <c r="L24" t="s">
        <v>124</v>
      </c>
      <c r="M24" t="s">
        <v>76</v>
      </c>
      <c r="N24" t="s">
        <v>85</v>
      </c>
      <c r="O24" t="s">
        <v>121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15">
        <v>0</v>
      </c>
    </row>
    <row r="25" spans="1:34" x14ac:dyDescent="0.2">
      <c r="A25" t="s">
        <v>125</v>
      </c>
      <c r="B25" s="10">
        <v>51.815133000000003</v>
      </c>
      <c r="C25" s="10">
        <v>-1.2927</v>
      </c>
      <c r="D25" t="s">
        <v>135</v>
      </c>
      <c r="E25" t="s">
        <v>79</v>
      </c>
      <c r="F25">
        <v>8</v>
      </c>
      <c r="G25">
        <v>3</v>
      </c>
      <c r="H25">
        <f t="shared" si="0"/>
        <v>24</v>
      </c>
      <c r="I25">
        <f t="shared" si="2"/>
        <v>127</v>
      </c>
      <c r="J25">
        <f t="shared" si="1"/>
        <v>9</v>
      </c>
      <c r="K25">
        <v>287</v>
      </c>
      <c r="L25" t="s">
        <v>92</v>
      </c>
      <c r="M25" t="s">
        <v>81</v>
      </c>
      <c r="N25" t="s">
        <v>89</v>
      </c>
      <c r="O25" t="s">
        <v>121</v>
      </c>
      <c r="P25">
        <v>7</v>
      </c>
      <c r="Q25">
        <v>12</v>
      </c>
      <c r="R25">
        <v>1</v>
      </c>
      <c r="S25">
        <v>0</v>
      </c>
      <c r="T25">
        <v>0</v>
      </c>
      <c r="U25">
        <v>0</v>
      </c>
      <c r="V25">
        <v>17</v>
      </c>
      <c r="W25">
        <v>0</v>
      </c>
      <c r="X25">
        <v>0</v>
      </c>
      <c r="Y25">
        <v>6</v>
      </c>
      <c r="Z25">
        <v>0</v>
      </c>
      <c r="AA25">
        <v>0</v>
      </c>
      <c r="AB25">
        <v>0</v>
      </c>
      <c r="AC25">
        <v>61</v>
      </c>
      <c r="AD25">
        <v>0</v>
      </c>
      <c r="AE25">
        <v>0</v>
      </c>
      <c r="AF25">
        <v>9</v>
      </c>
      <c r="AG25">
        <v>5</v>
      </c>
      <c r="AH25" s="15">
        <v>9</v>
      </c>
    </row>
    <row r="26" spans="1:34" x14ac:dyDescent="0.2">
      <c r="A26" t="s">
        <v>126</v>
      </c>
      <c r="B26" s="10">
        <v>51.815100000000001</v>
      </c>
      <c r="C26" s="10">
        <v>-1.2924329999999999</v>
      </c>
      <c r="D26" t="s">
        <v>135</v>
      </c>
      <c r="E26" t="s">
        <v>79</v>
      </c>
      <c r="F26">
        <v>8</v>
      </c>
      <c r="G26">
        <v>3</v>
      </c>
      <c r="H26">
        <f t="shared" si="0"/>
        <v>24</v>
      </c>
      <c r="I26">
        <f t="shared" si="2"/>
        <v>175</v>
      </c>
      <c r="J26">
        <f t="shared" si="1"/>
        <v>12</v>
      </c>
      <c r="K26">
        <v>117</v>
      </c>
      <c r="L26" t="s">
        <v>80</v>
      </c>
      <c r="M26" t="s">
        <v>81</v>
      </c>
      <c r="N26" t="s">
        <v>89</v>
      </c>
      <c r="O26" t="s">
        <v>113</v>
      </c>
      <c r="P26">
        <v>3</v>
      </c>
      <c r="Q26">
        <v>29</v>
      </c>
      <c r="R26">
        <v>3</v>
      </c>
      <c r="S26">
        <v>0</v>
      </c>
      <c r="T26">
        <v>7</v>
      </c>
      <c r="U26">
        <v>0</v>
      </c>
      <c r="V26">
        <v>49</v>
      </c>
      <c r="W26">
        <v>1</v>
      </c>
      <c r="X26">
        <v>0</v>
      </c>
      <c r="Y26">
        <v>10</v>
      </c>
      <c r="Z26">
        <v>0</v>
      </c>
      <c r="AA26">
        <v>0</v>
      </c>
      <c r="AB26">
        <v>0</v>
      </c>
      <c r="AC26">
        <v>17</v>
      </c>
      <c r="AD26">
        <v>0</v>
      </c>
      <c r="AE26">
        <v>9</v>
      </c>
      <c r="AF26">
        <v>26</v>
      </c>
      <c r="AG26">
        <v>2</v>
      </c>
      <c r="AH26" s="15">
        <v>19</v>
      </c>
    </row>
    <row r="27" spans="1:34" x14ac:dyDescent="0.2">
      <c r="A27" t="s">
        <v>127</v>
      </c>
      <c r="B27" s="10">
        <v>51.812600000000003</v>
      </c>
      <c r="C27" s="10">
        <v>-1.293833</v>
      </c>
      <c r="D27" t="s">
        <v>135</v>
      </c>
      <c r="E27" t="s">
        <v>79</v>
      </c>
      <c r="F27">
        <v>8</v>
      </c>
      <c r="G27">
        <v>3</v>
      </c>
      <c r="H27">
        <f t="shared" si="0"/>
        <v>24</v>
      </c>
      <c r="I27">
        <f t="shared" si="2"/>
        <v>63</v>
      </c>
      <c r="J27">
        <f t="shared" si="1"/>
        <v>8</v>
      </c>
      <c r="K27">
        <v>102</v>
      </c>
      <c r="L27" t="s">
        <v>88</v>
      </c>
      <c r="M27" t="s">
        <v>89</v>
      </c>
      <c r="N27" t="s">
        <v>75</v>
      </c>
      <c r="O27" t="s">
        <v>113</v>
      </c>
      <c r="P27">
        <v>0</v>
      </c>
      <c r="Q27">
        <v>13</v>
      </c>
      <c r="R27">
        <v>0</v>
      </c>
      <c r="S27">
        <v>0</v>
      </c>
      <c r="T27">
        <v>1</v>
      </c>
      <c r="U27">
        <v>0</v>
      </c>
      <c r="V27">
        <v>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7</v>
      </c>
      <c r="AD27">
        <v>0</v>
      </c>
      <c r="AE27">
        <v>3</v>
      </c>
      <c r="AF27">
        <v>3</v>
      </c>
      <c r="AG27">
        <v>3</v>
      </c>
      <c r="AH27" s="15">
        <v>27</v>
      </c>
    </row>
    <row r="28" spans="1:34" x14ac:dyDescent="0.2">
      <c r="A28" t="s">
        <v>128</v>
      </c>
      <c r="B28" s="10">
        <v>51.809583000000003</v>
      </c>
      <c r="C28" s="10">
        <v>-1.2956669999999999</v>
      </c>
      <c r="D28" t="s">
        <v>135</v>
      </c>
      <c r="E28" t="s">
        <v>79</v>
      </c>
      <c r="F28">
        <v>8</v>
      </c>
      <c r="G28">
        <v>3</v>
      </c>
      <c r="H28">
        <f t="shared" si="0"/>
        <v>24</v>
      </c>
      <c r="I28">
        <f t="shared" si="2"/>
        <v>76</v>
      </c>
      <c r="J28">
        <f t="shared" si="1"/>
        <v>9</v>
      </c>
      <c r="K28">
        <v>98</v>
      </c>
      <c r="L28" t="s">
        <v>88</v>
      </c>
      <c r="M28" t="s">
        <v>75</v>
      </c>
      <c r="N28" t="s">
        <v>75</v>
      </c>
      <c r="O28" t="s">
        <v>113</v>
      </c>
      <c r="P28">
        <v>0</v>
      </c>
      <c r="Q28">
        <v>14</v>
      </c>
      <c r="R28">
        <v>0</v>
      </c>
      <c r="S28">
        <v>0</v>
      </c>
      <c r="T28">
        <v>0</v>
      </c>
      <c r="U28">
        <v>1</v>
      </c>
      <c r="V28">
        <v>6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6</v>
      </c>
      <c r="AD28">
        <v>0</v>
      </c>
      <c r="AE28">
        <v>5</v>
      </c>
      <c r="AF28">
        <v>1</v>
      </c>
      <c r="AG28">
        <v>1</v>
      </c>
      <c r="AH28" s="15">
        <v>41</v>
      </c>
    </row>
    <row r="29" spans="1:34" x14ac:dyDescent="0.2">
      <c r="A29" t="s">
        <v>129</v>
      </c>
      <c r="B29" s="10">
        <v>51.807749999999999</v>
      </c>
      <c r="C29" s="10">
        <v>-1.29295</v>
      </c>
      <c r="D29" t="s">
        <v>135</v>
      </c>
      <c r="E29" t="s">
        <v>79</v>
      </c>
      <c r="F29">
        <v>8</v>
      </c>
      <c r="G29">
        <v>2</v>
      </c>
      <c r="H29">
        <f t="shared" si="0"/>
        <v>16</v>
      </c>
      <c r="I29">
        <f t="shared" si="2"/>
        <v>153</v>
      </c>
      <c r="J29">
        <f t="shared" si="1"/>
        <v>10</v>
      </c>
      <c r="K29">
        <v>285</v>
      </c>
      <c r="L29" t="s">
        <v>92</v>
      </c>
      <c r="M29" t="s">
        <v>75</v>
      </c>
      <c r="N29" t="s">
        <v>89</v>
      </c>
      <c r="O29" t="s">
        <v>113</v>
      </c>
      <c r="P29">
        <v>1</v>
      </c>
      <c r="Q29">
        <v>9</v>
      </c>
      <c r="R29">
        <v>1</v>
      </c>
      <c r="S29">
        <v>0</v>
      </c>
      <c r="T29">
        <v>0</v>
      </c>
      <c r="U29">
        <v>0</v>
      </c>
      <c r="V29">
        <v>24</v>
      </c>
      <c r="W29">
        <v>0</v>
      </c>
      <c r="X29">
        <v>0</v>
      </c>
      <c r="Y29">
        <v>12</v>
      </c>
      <c r="Z29">
        <v>0</v>
      </c>
      <c r="AA29">
        <v>0</v>
      </c>
      <c r="AB29">
        <v>0</v>
      </c>
      <c r="AC29">
        <v>65</v>
      </c>
      <c r="AD29">
        <v>0</v>
      </c>
      <c r="AE29">
        <v>3</v>
      </c>
      <c r="AF29">
        <v>3</v>
      </c>
      <c r="AG29">
        <v>2</v>
      </c>
      <c r="AH29" s="15">
        <v>33</v>
      </c>
    </row>
    <row r="30" spans="1:34" x14ac:dyDescent="0.2">
      <c r="A30" t="s">
        <v>130</v>
      </c>
      <c r="B30" s="10">
        <v>51.808599999999998</v>
      </c>
      <c r="C30" s="10">
        <v>-1.288683</v>
      </c>
      <c r="D30" t="s">
        <v>135</v>
      </c>
      <c r="E30" t="s">
        <v>73</v>
      </c>
      <c r="F30">
        <v>6</v>
      </c>
      <c r="G30">
        <v>3</v>
      </c>
      <c r="H30">
        <f t="shared" si="0"/>
        <v>18</v>
      </c>
      <c r="I30">
        <f t="shared" si="2"/>
        <v>101</v>
      </c>
      <c r="J30">
        <f t="shared" si="1"/>
        <v>9</v>
      </c>
      <c r="K30">
        <v>274</v>
      </c>
      <c r="L30" t="s">
        <v>92</v>
      </c>
      <c r="M30" t="s">
        <v>76</v>
      </c>
      <c r="N30" t="s">
        <v>89</v>
      </c>
      <c r="O30" t="s">
        <v>113</v>
      </c>
      <c r="P30">
        <v>1</v>
      </c>
      <c r="Q30">
        <v>17</v>
      </c>
      <c r="R30">
        <v>1</v>
      </c>
      <c r="S30">
        <v>0</v>
      </c>
      <c r="T30">
        <v>0</v>
      </c>
      <c r="U30">
        <v>0</v>
      </c>
      <c r="V30">
        <v>21</v>
      </c>
      <c r="W30">
        <v>0</v>
      </c>
      <c r="X30">
        <v>1</v>
      </c>
      <c r="Y30">
        <v>2</v>
      </c>
      <c r="Z30">
        <v>0</v>
      </c>
      <c r="AA30">
        <v>0</v>
      </c>
      <c r="AB30">
        <v>0</v>
      </c>
      <c r="AC30">
        <v>24</v>
      </c>
      <c r="AD30">
        <v>0</v>
      </c>
      <c r="AE30">
        <v>0</v>
      </c>
      <c r="AF30">
        <v>3</v>
      </c>
      <c r="AG30">
        <v>0</v>
      </c>
      <c r="AH30" s="15">
        <v>31</v>
      </c>
    </row>
    <row r="31" spans="1:34" x14ac:dyDescent="0.2">
      <c r="A31" t="s">
        <v>131</v>
      </c>
      <c r="B31" s="10">
        <v>51.811216999999999</v>
      </c>
      <c r="C31" s="10">
        <v>-1.2882830000000001</v>
      </c>
      <c r="D31" t="s">
        <v>135</v>
      </c>
      <c r="E31" t="s">
        <v>73</v>
      </c>
      <c r="F31">
        <v>6</v>
      </c>
      <c r="G31">
        <v>3</v>
      </c>
      <c r="H31">
        <f t="shared" si="0"/>
        <v>18</v>
      </c>
      <c r="I31">
        <f t="shared" si="2"/>
        <v>186</v>
      </c>
      <c r="J31">
        <f t="shared" si="1"/>
        <v>9</v>
      </c>
      <c r="K31">
        <v>278</v>
      </c>
      <c r="L31" t="s">
        <v>92</v>
      </c>
      <c r="M31" t="s">
        <v>76</v>
      </c>
      <c r="N31" t="s">
        <v>75</v>
      </c>
      <c r="O31" t="s">
        <v>113</v>
      </c>
      <c r="P31">
        <v>0</v>
      </c>
      <c r="Q31">
        <v>21</v>
      </c>
      <c r="R31">
        <v>1</v>
      </c>
      <c r="S31">
        <v>0</v>
      </c>
      <c r="T31">
        <v>0</v>
      </c>
      <c r="U31">
        <v>0</v>
      </c>
      <c r="V31">
        <v>86</v>
      </c>
      <c r="W31">
        <v>0</v>
      </c>
      <c r="X31">
        <v>0</v>
      </c>
      <c r="Y31">
        <v>3</v>
      </c>
      <c r="Z31">
        <v>0</v>
      </c>
      <c r="AA31">
        <v>0</v>
      </c>
      <c r="AB31">
        <v>0</v>
      </c>
      <c r="AC31">
        <v>16</v>
      </c>
      <c r="AD31">
        <v>0</v>
      </c>
      <c r="AE31">
        <v>4</v>
      </c>
      <c r="AF31">
        <v>3</v>
      </c>
      <c r="AG31">
        <v>2</v>
      </c>
      <c r="AH31" s="15">
        <v>50</v>
      </c>
    </row>
    <row r="32" spans="1:34" x14ac:dyDescent="0.2">
      <c r="A32" t="s">
        <v>72</v>
      </c>
      <c r="B32" s="10">
        <v>51.822099999999999</v>
      </c>
      <c r="C32" s="10">
        <v>-1.2992330000000001</v>
      </c>
      <c r="D32" t="s">
        <v>136</v>
      </c>
      <c r="E32" t="s">
        <v>73</v>
      </c>
      <c r="F32">
        <v>6</v>
      </c>
      <c r="G32">
        <v>3</v>
      </c>
      <c r="H32">
        <f t="shared" si="0"/>
        <v>18</v>
      </c>
      <c r="I32">
        <f t="shared" si="2"/>
        <v>26</v>
      </c>
      <c r="J32">
        <f t="shared" si="1"/>
        <v>7</v>
      </c>
      <c r="K32" s="11">
        <v>225</v>
      </c>
      <c r="L32" t="s">
        <v>74</v>
      </c>
      <c r="M32" t="s">
        <v>75</v>
      </c>
      <c r="N32" t="s">
        <v>76</v>
      </c>
      <c r="O32" t="s">
        <v>77</v>
      </c>
      <c r="P32">
        <v>0</v>
      </c>
      <c r="Q32">
        <v>5</v>
      </c>
      <c r="R32">
        <v>0</v>
      </c>
      <c r="S32">
        <v>0</v>
      </c>
      <c r="T32">
        <v>0</v>
      </c>
      <c r="U32">
        <v>0</v>
      </c>
      <c r="V32">
        <v>4</v>
      </c>
      <c r="W32">
        <v>0</v>
      </c>
      <c r="X32">
        <v>1</v>
      </c>
      <c r="Y32">
        <v>11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2</v>
      </c>
      <c r="AG32">
        <v>0</v>
      </c>
      <c r="AH32" s="15">
        <v>1</v>
      </c>
    </row>
    <row r="33" spans="1:34" x14ac:dyDescent="0.2">
      <c r="A33" t="s">
        <v>78</v>
      </c>
      <c r="B33" s="10">
        <v>51.822516999999998</v>
      </c>
      <c r="C33" s="10">
        <v>-1.3022499999999999</v>
      </c>
      <c r="D33" t="s">
        <v>136</v>
      </c>
      <c r="E33" t="s">
        <v>79</v>
      </c>
      <c r="F33">
        <v>8</v>
      </c>
      <c r="G33">
        <v>3</v>
      </c>
      <c r="H33">
        <f t="shared" si="0"/>
        <v>24</v>
      </c>
      <c r="I33">
        <f t="shared" si="2"/>
        <v>65</v>
      </c>
      <c r="J33">
        <f t="shared" si="1"/>
        <v>10</v>
      </c>
      <c r="K33">
        <v>150</v>
      </c>
      <c r="L33" t="s">
        <v>80</v>
      </c>
      <c r="M33" t="s">
        <v>81</v>
      </c>
      <c r="N33" t="s">
        <v>75</v>
      </c>
      <c r="O33" t="s">
        <v>77</v>
      </c>
      <c r="P33">
        <v>2</v>
      </c>
      <c r="Q33">
        <v>5</v>
      </c>
      <c r="R33">
        <v>1</v>
      </c>
      <c r="S33">
        <v>0</v>
      </c>
      <c r="T33">
        <v>0</v>
      </c>
      <c r="U33">
        <v>0</v>
      </c>
      <c r="V33">
        <v>6</v>
      </c>
      <c r="W33">
        <v>0</v>
      </c>
      <c r="X33">
        <v>0</v>
      </c>
      <c r="Y33">
        <v>7</v>
      </c>
      <c r="Z33">
        <v>0</v>
      </c>
      <c r="AA33">
        <v>0</v>
      </c>
      <c r="AB33">
        <v>0</v>
      </c>
      <c r="AC33">
        <v>10</v>
      </c>
      <c r="AD33">
        <v>0</v>
      </c>
      <c r="AE33">
        <v>1</v>
      </c>
      <c r="AF33">
        <v>18</v>
      </c>
      <c r="AG33">
        <v>1</v>
      </c>
      <c r="AH33" s="15">
        <v>14</v>
      </c>
    </row>
    <row r="34" spans="1:34" x14ac:dyDescent="0.2">
      <c r="A34" t="s">
        <v>82</v>
      </c>
      <c r="B34" s="10">
        <v>51.823616999999999</v>
      </c>
      <c r="C34" s="10">
        <v>-1.3056000000000001</v>
      </c>
      <c r="D34" t="s">
        <v>136</v>
      </c>
      <c r="E34" t="s">
        <v>73</v>
      </c>
      <c r="F34">
        <v>6</v>
      </c>
      <c r="G34">
        <v>3</v>
      </c>
      <c r="H34">
        <f t="shared" si="0"/>
        <v>18</v>
      </c>
      <c r="I34">
        <f t="shared" si="2"/>
        <v>51</v>
      </c>
      <c r="J34">
        <f t="shared" si="1"/>
        <v>8</v>
      </c>
      <c r="K34">
        <v>179</v>
      </c>
      <c r="L34" t="s">
        <v>83</v>
      </c>
      <c r="M34" t="s">
        <v>84</v>
      </c>
      <c r="N34" t="s">
        <v>85</v>
      </c>
      <c r="O34" t="s">
        <v>86</v>
      </c>
      <c r="P34">
        <v>1</v>
      </c>
      <c r="Q34">
        <v>8</v>
      </c>
      <c r="R34">
        <v>0</v>
      </c>
      <c r="S34">
        <v>0</v>
      </c>
      <c r="T34">
        <v>0</v>
      </c>
      <c r="U34">
        <v>0</v>
      </c>
      <c r="V34">
        <v>8</v>
      </c>
      <c r="W34">
        <v>0</v>
      </c>
      <c r="X34">
        <v>0</v>
      </c>
      <c r="Y34">
        <v>10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14</v>
      </c>
      <c r="AG34">
        <v>2</v>
      </c>
      <c r="AH34" s="15">
        <v>6</v>
      </c>
    </row>
    <row r="35" spans="1:34" x14ac:dyDescent="0.2">
      <c r="A35" t="s">
        <v>87</v>
      </c>
      <c r="B35" s="10">
        <v>51.822032999999998</v>
      </c>
      <c r="C35" s="10">
        <v>-1.30945</v>
      </c>
      <c r="D35" t="s">
        <v>136</v>
      </c>
      <c r="E35" t="s">
        <v>73</v>
      </c>
      <c r="F35">
        <v>6</v>
      </c>
      <c r="G35">
        <v>3</v>
      </c>
      <c r="H35">
        <f t="shared" si="0"/>
        <v>18</v>
      </c>
      <c r="I35">
        <f t="shared" si="2"/>
        <v>160</v>
      </c>
      <c r="J35">
        <f t="shared" si="1"/>
        <v>11</v>
      </c>
      <c r="K35">
        <v>88</v>
      </c>
      <c r="L35" t="s">
        <v>88</v>
      </c>
      <c r="M35" t="s">
        <v>81</v>
      </c>
      <c r="N35" t="s">
        <v>89</v>
      </c>
      <c r="O35" t="s">
        <v>86</v>
      </c>
      <c r="P35">
        <v>2</v>
      </c>
      <c r="Q35">
        <v>6</v>
      </c>
      <c r="R35">
        <v>1</v>
      </c>
      <c r="S35">
        <v>0</v>
      </c>
      <c r="T35">
        <v>0</v>
      </c>
      <c r="U35">
        <v>0</v>
      </c>
      <c r="V35">
        <v>87</v>
      </c>
      <c r="W35">
        <v>1</v>
      </c>
      <c r="X35">
        <v>0</v>
      </c>
      <c r="Y35">
        <v>15</v>
      </c>
      <c r="Z35">
        <v>0</v>
      </c>
      <c r="AA35">
        <v>0</v>
      </c>
      <c r="AB35">
        <v>0</v>
      </c>
      <c r="AC35">
        <v>19</v>
      </c>
      <c r="AD35">
        <v>0</v>
      </c>
      <c r="AE35">
        <v>2</v>
      </c>
      <c r="AF35">
        <v>8</v>
      </c>
      <c r="AG35">
        <v>4</v>
      </c>
      <c r="AH35" s="15">
        <v>15</v>
      </c>
    </row>
    <row r="36" spans="1:34" x14ac:dyDescent="0.2">
      <c r="A36" t="s">
        <v>90</v>
      </c>
      <c r="B36" s="10">
        <v>51.820900000000002</v>
      </c>
      <c r="C36" s="10">
        <v>-1.3093669999999999</v>
      </c>
      <c r="D36" t="s">
        <v>136</v>
      </c>
      <c r="E36" t="s">
        <v>91</v>
      </c>
      <c r="F36">
        <v>2</v>
      </c>
      <c r="G36">
        <v>2</v>
      </c>
      <c r="H36">
        <f t="shared" si="0"/>
        <v>4</v>
      </c>
      <c r="I36">
        <f t="shared" si="2"/>
        <v>89</v>
      </c>
      <c r="J36">
        <f t="shared" si="1"/>
        <v>9</v>
      </c>
      <c r="K36">
        <v>255</v>
      </c>
      <c r="L36" t="s">
        <v>92</v>
      </c>
      <c r="M36" t="s">
        <v>85</v>
      </c>
      <c r="N36" t="s">
        <v>84</v>
      </c>
      <c r="O36" t="s">
        <v>86</v>
      </c>
      <c r="P36">
        <v>2</v>
      </c>
      <c r="Q36">
        <v>5</v>
      </c>
      <c r="R36">
        <v>0</v>
      </c>
      <c r="S36">
        <v>0</v>
      </c>
      <c r="T36">
        <v>0</v>
      </c>
      <c r="U36">
        <v>0</v>
      </c>
      <c r="V36">
        <v>46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4</v>
      </c>
      <c r="AD36">
        <v>0</v>
      </c>
      <c r="AE36">
        <v>4</v>
      </c>
      <c r="AF36">
        <v>6</v>
      </c>
      <c r="AG36">
        <v>4</v>
      </c>
      <c r="AH36" s="15">
        <v>16</v>
      </c>
    </row>
    <row r="37" spans="1:34" x14ac:dyDescent="0.2">
      <c r="A37" t="s">
        <v>93</v>
      </c>
      <c r="B37" s="10">
        <v>51.818367000000002</v>
      </c>
      <c r="C37" s="10">
        <v>-1.3125830000000001</v>
      </c>
      <c r="D37" t="s">
        <v>136</v>
      </c>
      <c r="E37" t="s">
        <v>73</v>
      </c>
      <c r="F37">
        <v>6</v>
      </c>
      <c r="G37">
        <v>2</v>
      </c>
      <c r="H37">
        <f t="shared" si="0"/>
        <v>12</v>
      </c>
      <c r="I37">
        <f t="shared" si="2"/>
        <v>198</v>
      </c>
      <c r="J37">
        <f t="shared" si="1"/>
        <v>8</v>
      </c>
      <c r="K37">
        <v>255</v>
      </c>
      <c r="L37" t="s">
        <v>92</v>
      </c>
      <c r="M37" t="s">
        <v>75</v>
      </c>
      <c r="N37" t="s">
        <v>85</v>
      </c>
      <c r="O37" t="s">
        <v>94</v>
      </c>
      <c r="P37">
        <v>0</v>
      </c>
      <c r="Q37">
        <v>6</v>
      </c>
      <c r="R37">
        <v>1</v>
      </c>
      <c r="S37">
        <v>0</v>
      </c>
      <c r="T37">
        <v>0</v>
      </c>
      <c r="U37">
        <v>0</v>
      </c>
      <c r="V37">
        <v>156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2</v>
      </c>
      <c r="AG37">
        <v>1</v>
      </c>
      <c r="AH37" s="15">
        <v>30</v>
      </c>
    </row>
    <row r="38" spans="1:34" x14ac:dyDescent="0.2">
      <c r="A38" t="s">
        <v>95</v>
      </c>
      <c r="B38" s="10">
        <v>51.817667</v>
      </c>
      <c r="C38" s="10">
        <v>-1.314683</v>
      </c>
      <c r="D38" t="s">
        <v>136</v>
      </c>
      <c r="E38" t="s">
        <v>96</v>
      </c>
      <c r="F38">
        <v>4</v>
      </c>
      <c r="G38">
        <v>3</v>
      </c>
      <c r="H38">
        <f t="shared" si="0"/>
        <v>12</v>
      </c>
      <c r="I38">
        <f t="shared" si="2"/>
        <v>37</v>
      </c>
      <c r="J38">
        <f t="shared" si="1"/>
        <v>7</v>
      </c>
      <c r="K38">
        <v>2</v>
      </c>
      <c r="L38" t="s">
        <v>97</v>
      </c>
      <c r="M38" t="s">
        <v>84</v>
      </c>
      <c r="N38" t="s">
        <v>84</v>
      </c>
      <c r="O38" t="s">
        <v>94</v>
      </c>
      <c r="P38">
        <v>0</v>
      </c>
      <c r="Q38">
        <v>4</v>
      </c>
      <c r="R38">
        <v>0</v>
      </c>
      <c r="S38">
        <v>0</v>
      </c>
      <c r="T38">
        <v>0</v>
      </c>
      <c r="U38">
        <v>0</v>
      </c>
      <c r="V38">
        <v>9</v>
      </c>
      <c r="W38">
        <v>0</v>
      </c>
      <c r="X38">
        <v>0</v>
      </c>
      <c r="Y38">
        <v>5</v>
      </c>
      <c r="Z38">
        <v>0</v>
      </c>
      <c r="AA38">
        <v>0</v>
      </c>
      <c r="AB38">
        <v>0</v>
      </c>
      <c r="AC38">
        <v>6</v>
      </c>
      <c r="AD38">
        <v>0</v>
      </c>
      <c r="AE38">
        <v>0</v>
      </c>
      <c r="AF38">
        <v>4</v>
      </c>
      <c r="AG38">
        <v>4</v>
      </c>
      <c r="AH38" s="15">
        <v>5</v>
      </c>
    </row>
    <row r="39" spans="1:34" x14ac:dyDescent="0.2">
      <c r="A39" t="s">
        <v>98</v>
      </c>
      <c r="B39" s="10">
        <v>51.817332999999998</v>
      </c>
      <c r="C39" s="10">
        <v>-1.3145</v>
      </c>
      <c r="D39" t="s">
        <v>136</v>
      </c>
      <c r="E39" t="s">
        <v>73</v>
      </c>
      <c r="F39">
        <v>6</v>
      </c>
      <c r="G39">
        <v>3</v>
      </c>
      <c r="H39">
        <f t="shared" si="0"/>
        <v>18</v>
      </c>
      <c r="I39">
        <f t="shared" si="2"/>
        <v>76</v>
      </c>
      <c r="J39">
        <f t="shared" si="1"/>
        <v>11</v>
      </c>
      <c r="K39">
        <v>171</v>
      </c>
      <c r="L39" t="s">
        <v>83</v>
      </c>
      <c r="M39" t="s">
        <v>81</v>
      </c>
      <c r="N39" t="s">
        <v>89</v>
      </c>
      <c r="O39" t="s">
        <v>99</v>
      </c>
      <c r="P39">
        <v>1</v>
      </c>
      <c r="Q39">
        <v>8</v>
      </c>
      <c r="R39">
        <v>1</v>
      </c>
      <c r="S39">
        <v>0</v>
      </c>
      <c r="T39">
        <v>0</v>
      </c>
      <c r="U39">
        <v>1</v>
      </c>
      <c r="V39">
        <v>33</v>
      </c>
      <c r="W39">
        <v>0</v>
      </c>
      <c r="X39">
        <v>0</v>
      </c>
      <c r="Y39">
        <v>3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2</v>
      </c>
      <c r="AF39">
        <v>5</v>
      </c>
      <c r="AG39">
        <v>2</v>
      </c>
      <c r="AH39" s="15">
        <v>19</v>
      </c>
    </row>
    <row r="40" spans="1:34" x14ac:dyDescent="0.2">
      <c r="A40" t="s">
        <v>100</v>
      </c>
      <c r="B40" s="10">
        <v>51.816682999999998</v>
      </c>
      <c r="C40" s="10">
        <v>-1.31325</v>
      </c>
      <c r="D40" t="s">
        <v>136</v>
      </c>
      <c r="E40" t="s">
        <v>73</v>
      </c>
      <c r="F40">
        <v>6</v>
      </c>
      <c r="G40">
        <v>2</v>
      </c>
      <c r="H40">
        <f t="shared" si="0"/>
        <v>12</v>
      </c>
      <c r="I40">
        <f t="shared" si="2"/>
        <v>254</v>
      </c>
      <c r="J40">
        <f t="shared" si="1"/>
        <v>10</v>
      </c>
      <c r="K40">
        <v>268</v>
      </c>
      <c r="L40" t="s">
        <v>92</v>
      </c>
      <c r="M40" t="s">
        <v>75</v>
      </c>
      <c r="N40" t="s">
        <v>89</v>
      </c>
      <c r="O40" t="s">
        <v>94</v>
      </c>
      <c r="P40">
        <v>2</v>
      </c>
      <c r="Q40">
        <v>8</v>
      </c>
      <c r="R40">
        <v>0</v>
      </c>
      <c r="S40">
        <v>0</v>
      </c>
      <c r="T40">
        <v>0</v>
      </c>
      <c r="U40">
        <v>1</v>
      </c>
      <c r="V40">
        <v>190</v>
      </c>
      <c r="W40">
        <v>0</v>
      </c>
      <c r="X40">
        <v>0</v>
      </c>
      <c r="Y40">
        <v>22</v>
      </c>
      <c r="Z40">
        <v>0</v>
      </c>
      <c r="AA40">
        <v>0</v>
      </c>
      <c r="AB40">
        <v>0</v>
      </c>
      <c r="AC40">
        <v>8</v>
      </c>
      <c r="AD40">
        <v>0</v>
      </c>
      <c r="AE40">
        <v>1</v>
      </c>
      <c r="AF40">
        <v>10</v>
      </c>
      <c r="AG40">
        <v>4</v>
      </c>
      <c r="AH40" s="15">
        <v>8</v>
      </c>
    </row>
    <row r="41" spans="1:34" x14ac:dyDescent="0.2">
      <c r="A41" t="s">
        <v>101</v>
      </c>
      <c r="B41" s="10">
        <v>51.815100000000001</v>
      </c>
      <c r="C41" s="10">
        <v>-1.313367</v>
      </c>
      <c r="D41" t="s">
        <v>136</v>
      </c>
      <c r="E41" t="s">
        <v>102</v>
      </c>
      <c r="F41">
        <v>1</v>
      </c>
      <c r="G41">
        <v>3</v>
      </c>
      <c r="H41">
        <f t="shared" si="0"/>
        <v>3</v>
      </c>
      <c r="I41">
        <f t="shared" si="2"/>
        <v>100</v>
      </c>
      <c r="J41">
        <f t="shared" si="1"/>
        <v>4</v>
      </c>
      <c r="K41">
        <v>333</v>
      </c>
      <c r="L41" t="s">
        <v>103</v>
      </c>
      <c r="M41" t="s">
        <v>104</v>
      </c>
      <c r="N41" t="s">
        <v>84</v>
      </c>
      <c r="O41" t="s">
        <v>94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76</v>
      </c>
      <c r="W41">
        <v>0</v>
      </c>
      <c r="X41">
        <v>0</v>
      </c>
      <c r="Y41">
        <v>12</v>
      </c>
      <c r="Z41">
        <v>0</v>
      </c>
      <c r="AA41">
        <v>0</v>
      </c>
      <c r="AB41">
        <v>0</v>
      </c>
      <c r="AC41">
        <v>7</v>
      </c>
      <c r="AD41">
        <v>0</v>
      </c>
      <c r="AE41">
        <v>0</v>
      </c>
      <c r="AF41">
        <v>0</v>
      </c>
      <c r="AG41">
        <v>0</v>
      </c>
      <c r="AH41" s="15">
        <v>5</v>
      </c>
    </row>
    <row r="42" spans="1:34" x14ac:dyDescent="0.2">
      <c r="A42" t="s">
        <v>105</v>
      </c>
      <c r="B42" s="10">
        <v>51.817749999999997</v>
      </c>
      <c r="C42" s="10">
        <v>-1.310883</v>
      </c>
      <c r="D42" t="s">
        <v>136</v>
      </c>
      <c r="E42" t="s">
        <v>96</v>
      </c>
      <c r="F42">
        <v>4</v>
      </c>
      <c r="G42">
        <v>3</v>
      </c>
      <c r="H42">
        <f t="shared" si="0"/>
        <v>12</v>
      </c>
      <c r="I42">
        <f t="shared" si="2"/>
        <v>70</v>
      </c>
      <c r="J42">
        <f t="shared" si="1"/>
        <v>7</v>
      </c>
      <c r="K42">
        <v>0</v>
      </c>
      <c r="L42" t="s">
        <v>97</v>
      </c>
      <c r="M42" t="s">
        <v>85</v>
      </c>
      <c r="N42" t="s">
        <v>84</v>
      </c>
      <c r="O42" t="s">
        <v>94</v>
      </c>
      <c r="P42">
        <v>0</v>
      </c>
      <c r="Q42">
        <v>5</v>
      </c>
      <c r="R42">
        <v>1</v>
      </c>
      <c r="S42">
        <v>0</v>
      </c>
      <c r="T42">
        <v>0</v>
      </c>
      <c r="U42">
        <v>0</v>
      </c>
      <c r="V42">
        <v>36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</v>
      </c>
      <c r="AD42">
        <v>0</v>
      </c>
      <c r="AE42">
        <v>1</v>
      </c>
      <c r="AF42">
        <v>7</v>
      </c>
      <c r="AG42">
        <v>0</v>
      </c>
      <c r="AH42" s="15">
        <v>17</v>
      </c>
    </row>
    <row r="43" spans="1:34" x14ac:dyDescent="0.2">
      <c r="A43" t="s">
        <v>106</v>
      </c>
      <c r="B43" s="10">
        <v>51.816133000000001</v>
      </c>
      <c r="C43" s="10">
        <v>-1.3091330000000001</v>
      </c>
      <c r="D43" t="s">
        <v>136</v>
      </c>
      <c r="E43" t="s">
        <v>96</v>
      </c>
      <c r="F43">
        <v>4</v>
      </c>
      <c r="G43">
        <v>3</v>
      </c>
      <c r="H43">
        <f t="shared" si="0"/>
        <v>12</v>
      </c>
      <c r="I43">
        <f t="shared" si="2"/>
        <v>73</v>
      </c>
      <c r="J43">
        <f t="shared" si="1"/>
        <v>9</v>
      </c>
      <c r="K43">
        <v>358</v>
      </c>
      <c r="L43" t="s">
        <v>97</v>
      </c>
      <c r="M43" t="s">
        <v>85</v>
      </c>
      <c r="N43" t="s">
        <v>85</v>
      </c>
      <c r="O43" t="s">
        <v>94</v>
      </c>
      <c r="P43">
        <v>0</v>
      </c>
      <c r="Q43">
        <v>7</v>
      </c>
      <c r="R43">
        <v>1</v>
      </c>
      <c r="S43">
        <v>0</v>
      </c>
      <c r="T43">
        <v>0</v>
      </c>
      <c r="U43">
        <v>0</v>
      </c>
      <c r="V43">
        <v>39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4</v>
      </c>
      <c r="AD43">
        <v>0</v>
      </c>
      <c r="AE43">
        <v>1</v>
      </c>
      <c r="AF43">
        <v>4</v>
      </c>
      <c r="AG43">
        <v>1</v>
      </c>
      <c r="AH43" s="15">
        <v>15</v>
      </c>
    </row>
    <row r="44" spans="1:34" x14ac:dyDescent="0.2">
      <c r="A44" t="s">
        <v>107</v>
      </c>
      <c r="B44" s="10">
        <v>51.815100000000001</v>
      </c>
      <c r="C44" s="10">
        <v>-1.307833</v>
      </c>
      <c r="D44" t="s">
        <v>136</v>
      </c>
      <c r="E44" t="s">
        <v>96</v>
      </c>
      <c r="F44">
        <v>4</v>
      </c>
      <c r="G44">
        <v>3</v>
      </c>
      <c r="H44">
        <f t="shared" si="0"/>
        <v>12</v>
      </c>
      <c r="I44">
        <f t="shared" si="2"/>
        <v>50</v>
      </c>
      <c r="J44">
        <f t="shared" si="1"/>
        <v>9</v>
      </c>
      <c r="K44">
        <v>4</v>
      </c>
      <c r="L44" t="s">
        <v>97</v>
      </c>
      <c r="M44" t="s">
        <v>84</v>
      </c>
      <c r="N44" t="s">
        <v>84</v>
      </c>
      <c r="O44" t="s">
        <v>108</v>
      </c>
      <c r="P44">
        <v>1</v>
      </c>
      <c r="Q44">
        <v>6</v>
      </c>
      <c r="R44">
        <v>0</v>
      </c>
      <c r="S44">
        <v>0</v>
      </c>
      <c r="T44">
        <v>0</v>
      </c>
      <c r="U44">
        <v>0</v>
      </c>
      <c r="V44">
        <v>21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4</v>
      </c>
      <c r="AD44">
        <v>0</v>
      </c>
      <c r="AE44">
        <v>1</v>
      </c>
      <c r="AF44">
        <v>6</v>
      </c>
      <c r="AG44">
        <v>1</v>
      </c>
      <c r="AH44" s="15">
        <v>9</v>
      </c>
    </row>
    <row r="45" spans="1:34" x14ac:dyDescent="0.2">
      <c r="A45" t="s">
        <v>109</v>
      </c>
      <c r="B45" s="10">
        <v>51.816766999999999</v>
      </c>
      <c r="C45" s="10">
        <v>-1.3060499999999999</v>
      </c>
      <c r="D45" t="s">
        <v>136</v>
      </c>
      <c r="E45" t="s">
        <v>110</v>
      </c>
      <c r="F45">
        <v>2</v>
      </c>
      <c r="G45">
        <v>2</v>
      </c>
      <c r="H45">
        <f t="shared" si="0"/>
        <v>4</v>
      </c>
      <c r="I45">
        <f t="shared" si="2"/>
        <v>67</v>
      </c>
      <c r="J45">
        <f t="shared" si="1"/>
        <v>9</v>
      </c>
      <c r="K45">
        <v>268</v>
      </c>
      <c r="L45" t="s">
        <v>92</v>
      </c>
      <c r="M45" t="s">
        <v>104</v>
      </c>
      <c r="N45" t="s">
        <v>104</v>
      </c>
      <c r="O45" t="s">
        <v>99</v>
      </c>
      <c r="P45">
        <v>1</v>
      </c>
      <c r="Q45">
        <v>11</v>
      </c>
      <c r="R45">
        <v>0</v>
      </c>
      <c r="S45">
        <v>0</v>
      </c>
      <c r="T45">
        <v>0</v>
      </c>
      <c r="U45">
        <v>0</v>
      </c>
      <c r="V45">
        <v>37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4</v>
      </c>
      <c r="AF45">
        <v>2</v>
      </c>
      <c r="AG45">
        <v>1</v>
      </c>
      <c r="AH45" s="15">
        <v>8</v>
      </c>
    </row>
    <row r="46" spans="1:34" x14ac:dyDescent="0.2">
      <c r="A46" t="s">
        <v>111</v>
      </c>
      <c r="B46" s="10">
        <v>51.816682999999998</v>
      </c>
      <c r="C46" s="10">
        <v>-1.305917</v>
      </c>
      <c r="D46" t="s">
        <v>136</v>
      </c>
      <c r="E46" t="s">
        <v>110</v>
      </c>
      <c r="F46">
        <v>2</v>
      </c>
      <c r="G46">
        <v>2</v>
      </c>
      <c r="H46">
        <f t="shared" si="0"/>
        <v>4</v>
      </c>
      <c r="I46">
        <f t="shared" si="2"/>
        <v>150</v>
      </c>
      <c r="J46">
        <f t="shared" si="1"/>
        <v>10</v>
      </c>
      <c r="K46">
        <v>84</v>
      </c>
      <c r="L46" t="s">
        <v>88</v>
      </c>
      <c r="M46" t="s">
        <v>104</v>
      </c>
      <c r="N46" t="s">
        <v>104</v>
      </c>
      <c r="O46" t="s">
        <v>99</v>
      </c>
      <c r="P46">
        <v>1</v>
      </c>
      <c r="Q46">
        <v>10</v>
      </c>
      <c r="R46">
        <v>1</v>
      </c>
      <c r="S46">
        <v>0</v>
      </c>
      <c r="T46">
        <v>0</v>
      </c>
      <c r="U46">
        <v>0</v>
      </c>
      <c r="V46">
        <v>88</v>
      </c>
      <c r="W46">
        <v>0</v>
      </c>
      <c r="X46">
        <v>0</v>
      </c>
      <c r="Y46">
        <v>6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21</v>
      </c>
      <c r="AF46">
        <v>2</v>
      </c>
      <c r="AG46">
        <v>4</v>
      </c>
      <c r="AH46" s="15">
        <v>15</v>
      </c>
    </row>
    <row r="47" spans="1:34" x14ac:dyDescent="0.2">
      <c r="A47" t="s">
        <v>112</v>
      </c>
      <c r="B47" s="10">
        <v>51.815632999999998</v>
      </c>
      <c r="C47" s="10">
        <v>-1.2991999999999999</v>
      </c>
      <c r="D47" t="s">
        <v>136</v>
      </c>
      <c r="E47" t="s">
        <v>96</v>
      </c>
      <c r="F47">
        <v>4</v>
      </c>
      <c r="G47">
        <v>3</v>
      </c>
      <c r="H47">
        <f t="shared" si="0"/>
        <v>12</v>
      </c>
      <c r="I47">
        <f t="shared" si="2"/>
        <v>68</v>
      </c>
      <c r="J47">
        <f t="shared" si="1"/>
        <v>9</v>
      </c>
      <c r="K47">
        <v>179</v>
      </c>
      <c r="L47" t="s">
        <v>83</v>
      </c>
      <c r="M47" t="s">
        <v>84</v>
      </c>
      <c r="N47" t="s">
        <v>85</v>
      </c>
      <c r="O47" t="s">
        <v>113</v>
      </c>
      <c r="P47">
        <v>0</v>
      </c>
      <c r="Q47">
        <v>5</v>
      </c>
      <c r="R47">
        <v>0</v>
      </c>
      <c r="S47">
        <v>0</v>
      </c>
      <c r="T47">
        <v>0</v>
      </c>
      <c r="U47">
        <v>0</v>
      </c>
      <c r="V47">
        <v>5</v>
      </c>
      <c r="W47">
        <v>1</v>
      </c>
      <c r="X47">
        <v>0</v>
      </c>
      <c r="Y47">
        <v>2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2</v>
      </c>
      <c r="AF47">
        <v>3</v>
      </c>
      <c r="AG47">
        <v>1</v>
      </c>
      <c r="AH47" s="15">
        <v>48</v>
      </c>
    </row>
    <row r="48" spans="1:34" x14ac:dyDescent="0.2">
      <c r="A48" t="s">
        <v>114</v>
      </c>
      <c r="B48" s="10">
        <v>51.815617000000003</v>
      </c>
      <c r="C48" s="10">
        <v>-1.3024169999999999</v>
      </c>
      <c r="D48" t="s">
        <v>136</v>
      </c>
      <c r="E48" t="s">
        <v>73</v>
      </c>
      <c r="F48">
        <v>6</v>
      </c>
      <c r="G48">
        <v>3</v>
      </c>
      <c r="H48">
        <f t="shared" si="0"/>
        <v>18</v>
      </c>
      <c r="I48">
        <f t="shared" si="2"/>
        <v>102</v>
      </c>
      <c r="J48">
        <f t="shared" si="1"/>
        <v>8</v>
      </c>
      <c r="K48">
        <v>182</v>
      </c>
      <c r="L48" t="s">
        <v>83</v>
      </c>
      <c r="M48" t="s">
        <v>85</v>
      </c>
      <c r="N48" t="s">
        <v>85</v>
      </c>
      <c r="O48" t="s">
        <v>115</v>
      </c>
      <c r="P48">
        <v>3</v>
      </c>
      <c r="Q48">
        <v>3</v>
      </c>
      <c r="R48">
        <v>0</v>
      </c>
      <c r="S48">
        <v>0</v>
      </c>
      <c r="T48">
        <v>0</v>
      </c>
      <c r="U48">
        <v>0</v>
      </c>
      <c r="V48">
        <v>50</v>
      </c>
      <c r="W48">
        <v>0</v>
      </c>
      <c r="X48">
        <v>0</v>
      </c>
      <c r="Y48">
        <v>21</v>
      </c>
      <c r="Z48">
        <v>0</v>
      </c>
      <c r="AA48">
        <v>0</v>
      </c>
      <c r="AB48">
        <v>0</v>
      </c>
      <c r="AC48">
        <v>4</v>
      </c>
      <c r="AD48">
        <v>0</v>
      </c>
      <c r="AE48">
        <v>1</v>
      </c>
      <c r="AF48">
        <v>3</v>
      </c>
      <c r="AG48">
        <v>0</v>
      </c>
      <c r="AH48" s="15">
        <v>17</v>
      </c>
    </row>
    <row r="49" spans="1:34" x14ac:dyDescent="0.2">
      <c r="A49" t="s">
        <v>116</v>
      </c>
      <c r="B49" s="10">
        <v>51.813732999999999</v>
      </c>
      <c r="C49" s="10">
        <v>-1.3007169999999999</v>
      </c>
      <c r="D49" t="s">
        <v>136</v>
      </c>
      <c r="E49" t="s">
        <v>96</v>
      </c>
      <c r="F49">
        <v>4</v>
      </c>
      <c r="G49">
        <v>2</v>
      </c>
      <c r="H49">
        <f t="shared" si="0"/>
        <v>8</v>
      </c>
      <c r="I49">
        <f t="shared" si="2"/>
        <v>118</v>
      </c>
      <c r="J49">
        <f t="shared" si="1"/>
        <v>8</v>
      </c>
      <c r="K49">
        <v>165</v>
      </c>
      <c r="L49" t="s">
        <v>83</v>
      </c>
      <c r="M49" t="s">
        <v>76</v>
      </c>
      <c r="N49" t="s">
        <v>84</v>
      </c>
      <c r="O49" t="s">
        <v>86</v>
      </c>
      <c r="P49">
        <v>5</v>
      </c>
      <c r="Q49">
        <v>5</v>
      </c>
      <c r="R49">
        <v>0</v>
      </c>
      <c r="S49">
        <v>0</v>
      </c>
      <c r="T49">
        <v>0</v>
      </c>
      <c r="U49">
        <v>0</v>
      </c>
      <c r="V49">
        <v>79</v>
      </c>
      <c r="W49">
        <v>0</v>
      </c>
      <c r="X49">
        <v>0</v>
      </c>
      <c r="Y49">
        <v>14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</v>
      </c>
      <c r="AF49">
        <v>4</v>
      </c>
      <c r="AG49">
        <v>3</v>
      </c>
      <c r="AH49" s="15">
        <v>4</v>
      </c>
    </row>
    <row r="50" spans="1:34" x14ac:dyDescent="0.2">
      <c r="A50" t="s">
        <v>117</v>
      </c>
      <c r="B50" s="10">
        <v>51.810867000000002</v>
      </c>
      <c r="C50" s="10">
        <v>-1.3022</v>
      </c>
      <c r="D50" t="s">
        <v>136</v>
      </c>
      <c r="E50" t="s">
        <v>79</v>
      </c>
      <c r="F50">
        <v>8</v>
      </c>
      <c r="G50">
        <v>3</v>
      </c>
      <c r="H50">
        <f t="shared" si="0"/>
        <v>24</v>
      </c>
      <c r="I50">
        <f t="shared" si="2"/>
        <v>54</v>
      </c>
      <c r="J50">
        <f t="shared" si="1"/>
        <v>8</v>
      </c>
      <c r="K50">
        <v>314</v>
      </c>
      <c r="L50" t="s">
        <v>103</v>
      </c>
      <c r="M50" t="s">
        <v>118</v>
      </c>
      <c r="N50" t="s">
        <v>75</v>
      </c>
      <c r="O50" t="s">
        <v>86</v>
      </c>
      <c r="P50">
        <v>1</v>
      </c>
      <c r="Q50">
        <v>21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3</v>
      </c>
      <c r="Z50">
        <v>0</v>
      </c>
      <c r="AA50">
        <v>0</v>
      </c>
      <c r="AB50">
        <v>0</v>
      </c>
      <c r="AC50">
        <v>7</v>
      </c>
      <c r="AD50">
        <v>0</v>
      </c>
      <c r="AE50">
        <v>0</v>
      </c>
      <c r="AF50">
        <v>4</v>
      </c>
      <c r="AG50">
        <v>7</v>
      </c>
      <c r="AH50" s="15">
        <v>9</v>
      </c>
    </row>
    <row r="51" spans="1:34" x14ac:dyDescent="0.2">
      <c r="A51" t="s">
        <v>119</v>
      </c>
      <c r="B51" s="10">
        <v>51.818550000000002</v>
      </c>
      <c r="C51" s="10">
        <v>-1.2959670000000001</v>
      </c>
      <c r="D51" t="s">
        <v>136</v>
      </c>
      <c r="E51" t="s">
        <v>79</v>
      </c>
      <c r="F51">
        <v>8</v>
      </c>
      <c r="G51">
        <v>3</v>
      </c>
      <c r="H51">
        <f t="shared" si="0"/>
        <v>24</v>
      </c>
      <c r="I51">
        <f t="shared" si="2"/>
        <v>33</v>
      </c>
      <c r="J51">
        <f t="shared" si="1"/>
        <v>9</v>
      </c>
      <c r="K51">
        <v>211</v>
      </c>
      <c r="L51" t="s">
        <v>74</v>
      </c>
      <c r="M51" t="s">
        <v>118</v>
      </c>
      <c r="N51" t="s">
        <v>89</v>
      </c>
      <c r="O51" t="s">
        <v>115</v>
      </c>
      <c r="P51">
        <v>1</v>
      </c>
      <c r="Q51">
        <v>4</v>
      </c>
      <c r="R51">
        <v>0</v>
      </c>
      <c r="S51">
        <v>0</v>
      </c>
      <c r="T51">
        <v>0</v>
      </c>
      <c r="U51">
        <v>0</v>
      </c>
      <c r="V51">
        <v>3</v>
      </c>
      <c r="W51">
        <v>0</v>
      </c>
      <c r="X51">
        <v>1</v>
      </c>
      <c r="Y51">
        <v>7</v>
      </c>
      <c r="Z51">
        <v>0</v>
      </c>
      <c r="AA51">
        <v>0</v>
      </c>
      <c r="AB51">
        <v>0</v>
      </c>
      <c r="AC51">
        <v>3</v>
      </c>
      <c r="AD51">
        <v>0</v>
      </c>
      <c r="AE51">
        <v>0</v>
      </c>
      <c r="AF51">
        <v>5</v>
      </c>
      <c r="AG51">
        <v>1</v>
      </c>
      <c r="AH51" s="15">
        <v>8</v>
      </c>
    </row>
    <row r="52" spans="1:34" x14ac:dyDescent="0.2">
      <c r="A52" t="s">
        <v>120</v>
      </c>
      <c r="B52" s="10">
        <v>51.816716999999997</v>
      </c>
      <c r="C52" s="10">
        <v>-1.293917</v>
      </c>
      <c r="D52" t="s">
        <v>136</v>
      </c>
      <c r="E52" t="s">
        <v>79</v>
      </c>
      <c r="F52">
        <v>8</v>
      </c>
      <c r="G52">
        <v>2</v>
      </c>
      <c r="H52">
        <f t="shared" si="0"/>
        <v>16</v>
      </c>
      <c r="I52">
        <f t="shared" si="2"/>
        <v>34</v>
      </c>
      <c r="J52">
        <f t="shared" si="1"/>
        <v>8</v>
      </c>
      <c r="K52">
        <v>174</v>
      </c>
      <c r="L52" t="s">
        <v>83</v>
      </c>
      <c r="M52" t="s">
        <v>89</v>
      </c>
      <c r="N52" t="s">
        <v>85</v>
      </c>
      <c r="O52" t="s">
        <v>121</v>
      </c>
      <c r="P52">
        <v>1</v>
      </c>
      <c r="Q52">
        <v>5</v>
      </c>
      <c r="R52">
        <v>0</v>
      </c>
      <c r="S52">
        <v>0</v>
      </c>
      <c r="T52">
        <v>0</v>
      </c>
      <c r="U52">
        <v>0</v>
      </c>
      <c r="V52">
        <v>15</v>
      </c>
      <c r="W52">
        <v>0</v>
      </c>
      <c r="X52">
        <v>0</v>
      </c>
      <c r="Y52">
        <v>3</v>
      </c>
      <c r="Z52">
        <v>0</v>
      </c>
      <c r="AA52">
        <v>0</v>
      </c>
      <c r="AB52">
        <v>0</v>
      </c>
      <c r="AC52">
        <v>4</v>
      </c>
      <c r="AD52">
        <v>0</v>
      </c>
      <c r="AE52">
        <v>0</v>
      </c>
      <c r="AF52">
        <v>3</v>
      </c>
      <c r="AG52">
        <v>1</v>
      </c>
      <c r="AH52" s="15">
        <v>2</v>
      </c>
    </row>
    <row r="53" spans="1:34" x14ac:dyDescent="0.2">
      <c r="A53" t="s">
        <v>122</v>
      </c>
      <c r="B53" s="10">
        <v>51.815533000000002</v>
      </c>
      <c r="C53" s="10">
        <v>-1.2947500000000001</v>
      </c>
      <c r="D53" t="s">
        <v>136</v>
      </c>
      <c r="E53" t="s">
        <v>73</v>
      </c>
      <c r="F53">
        <v>6</v>
      </c>
      <c r="G53">
        <v>3</v>
      </c>
      <c r="H53">
        <f t="shared" si="0"/>
        <v>18</v>
      </c>
      <c r="I53">
        <f t="shared" si="2"/>
        <v>24</v>
      </c>
      <c r="J53">
        <f t="shared" si="1"/>
        <v>10</v>
      </c>
      <c r="K53">
        <v>350</v>
      </c>
      <c r="L53" t="s">
        <v>97</v>
      </c>
      <c r="M53" t="s">
        <v>89</v>
      </c>
      <c r="N53" t="s">
        <v>85</v>
      </c>
      <c r="O53" t="s">
        <v>121</v>
      </c>
      <c r="P53">
        <v>1</v>
      </c>
      <c r="Q53">
        <v>7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0</v>
      </c>
      <c r="Y53">
        <v>2</v>
      </c>
      <c r="Z53">
        <v>0</v>
      </c>
      <c r="AA53">
        <v>0</v>
      </c>
      <c r="AB53">
        <v>0</v>
      </c>
      <c r="AC53">
        <v>3</v>
      </c>
      <c r="AD53">
        <v>0</v>
      </c>
      <c r="AE53">
        <v>1</v>
      </c>
      <c r="AF53">
        <v>2</v>
      </c>
      <c r="AG53">
        <v>4</v>
      </c>
      <c r="AH53" s="15">
        <v>2</v>
      </c>
    </row>
    <row r="54" spans="1:34" x14ac:dyDescent="0.2">
      <c r="A54" t="s">
        <v>123</v>
      </c>
      <c r="B54" s="10">
        <v>51.815832999999998</v>
      </c>
      <c r="C54" s="10">
        <v>-1.29295</v>
      </c>
      <c r="D54" t="s">
        <v>136</v>
      </c>
      <c r="E54" t="s">
        <v>73</v>
      </c>
      <c r="F54">
        <v>6</v>
      </c>
      <c r="G54">
        <v>3</v>
      </c>
      <c r="H54">
        <f t="shared" si="0"/>
        <v>18</v>
      </c>
      <c r="I54">
        <f t="shared" si="2"/>
        <v>104</v>
      </c>
      <c r="J54">
        <f t="shared" si="1"/>
        <v>9</v>
      </c>
      <c r="K54">
        <v>161</v>
      </c>
      <c r="L54" t="s">
        <v>124</v>
      </c>
      <c r="M54" t="s">
        <v>76</v>
      </c>
      <c r="N54" t="s">
        <v>85</v>
      </c>
      <c r="O54" t="s">
        <v>121</v>
      </c>
      <c r="P54">
        <v>3</v>
      </c>
      <c r="Q54">
        <v>3</v>
      </c>
      <c r="R54">
        <v>0</v>
      </c>
      <c r="S54">
        <v>0</v>
      </c>
      <c r="T54">
        <v>0</v>
      </c>
      <c r="U54">
        <v>0</v>
      </c>
      <c r="V54">
        <v>18</v>
      </c>
      <c r="W54">
        <v>0</v>
      </c>
      <c r="X54">
        <v>0</v>
      </c>
      <c r="Y54">
        <v>4</v>
      </c>
      <c r="Z54">
        <v>0</v>
      </c>
      <c r="AA54">
        <v>0</v>
      </c>
      <c r="AB54">
        <v>0</v>
      </c>
      <c r="AC54">
        <v>6</v>
      </c>
      <c r="AD54">
        <v>0</v>
      </c>
      <c r="AE54">
        <v>3</v>
      </c>
      <c r="AF54">
        <v>1</v>
      </c>
      <c r="AG54">
        <v>2</v>
      </c>
      <c r="AH54" s="15">
        <v>64</v>
      </c>
    </row>
    <row r="55" spans="1:34" x14ac:dyDescent="0.2">
      <c r="A55" t="s">
        <v>125</v>
      </c>
      <c r="B55" s="10">
        <v>51.815133000000003</v>
      </c>
      <c r="C55" s="10">
        <v>-1.2927</v>
      </c>
      <c r="D55" t="s">
        <v>136</v>
      </c>
      <c r="E55" t="s">
        <v>79</v>
      </c>
      <c r="F55">
        <v>8</v>
      </c>
      <c r="G55">
        <v>3</v>
      </c>
      <c r="H55">
        <f t="shared" si="0"/>
        <v>24</v>
      </c>
      <c r="I55">
        <f t="shared" si="2"/>
        <v>51</v>
      </c>
      <c r="J55">
        <f t="shared" si="1"/>
        <v>9</v>
      </c>
      <c r="K55">
        <v>287</v>
      </c>
      <c r="L55" t="s">
        <v>92</v>
      </c>
      <c r="M55" t="s">
        <v>81</v>
      </c>
      <c r="N55" t="s">
        <v>89</v>
      </c>
      <c r="O55" t="s">
        <v>121</v>
      </c>
      <c r="P55">
        <v>3</v>
      </c>
      <c r="Q55">
        <v>2</v>
      </c>
      <c r="R55">
        <v>0</v>
      </c>
      <c r="S55">
        <v>0</v>
      </c>
      <c r="T55">
        <v>0</v>
      </c>
      <c r="U55">
        <v>0</v>
      </c>
      <c r="V55">
        <v>12</v>
      </c>
      <c r="W55">
        <v>0</v>
      </c>
      <c r="X55">
        <v>0</v>
      </c>
      <c r="Y55">
        <v>7</v>
      </c>
      <c r="Z55">
        <v>0</v>
      </c>
      <c r="AA55">
        <v>0</v>
      </c>
      <c r="AB55">
        <v>0</v>
      </c>
      <c r="AC55">
        <v>11</v>
      </c>
      <c r="AD55">
        <v>0</v>
      </c>
      <c r="AE55">
        <v>2</v>
      </c>
      <c r="AF55">
        <v>4</v>
      </c>
      <c r="AG55">
        <v>1</v>
      </c>
      <c r="AH55" s="15">
        <v>9</v>
      </c>
    </row>
    <row r="56" spans="1:34" x14ac:dyDescent="0.2">
      <c r="A56" t="s">
        <v>126</v>
      </c>
      <c r="B56" s="10">
        <v>51.815100000000001</v>
      </c>
      <c r="C56" s="10">
        <v>-1.2924329999999999</v>
      </c>
      <c r="D56" t="s">
        <v>136</v>
      </c>
      <c r="E56" t="s">
        <v>79</v>
      </c>
      <c r="F56">
        <v>8</v>
      </c>
      <c r="G56">
        <v>3</v>
      </c>
      <c r="H56">
        <f t="shared" si="0"/>
        <v>24</v>
      </c>
      <c r="I56">
        <f t="shared" si="2"/>
        <v>184</v>
      </c>
      <c r="J56">
        <f t="shared" si="1"/>
        <v>11</v>
      </c>
      <c r="K56">
        <v>117</v>
      </c>
      <c r="L56" t="s">
        <v>80</v>
      </c>
      <c r="M56" t="s">
        <v>81</v>
      </c>
      <c r="N56" t="s">
        <v>89</v>
      </c>
      <c r="O56" t="s">
        <v>113</v>
      </c>
      <c r="P56">
        <v>0</v>
      </c>
      <c r="Q56">
        <v>7</v>
      </c>
      <c r="R56">
        <v>1</v>
      </c>
      <c r="S56">
        <v>0</v>
      </c>
      <c r="T56">
        <v>2</v>
      </c>
      <c r="U56">
        <v>0</v>
      </c>
      <c r="V56">
        <v>86</v>
      </c>
      <c r="W56">
        <v>0</v>
      </c>
      <c r="X56">
        <v>1</v>
      </c>
      <c r="Y56">
        <v>33</v>
      </c>
      <c r="Z56">
        <v>0</v>
      </c>
      <c r="AA56">
        <v>0</v>
      </c>
      <c r="AB56">
        <v>0</v>
      </c>
      <c r="AC56">
        <v>8</v>
      </c>
      <c r="AD56">
        <v>0</v>
      </c>
      <c r="AE56">
        <v>6</v>
      </c>
      <c r="AF56">
        <v>24</v>
      </c>
      <c r="AG56">
        <v>2</v>
      </c>
      <c r="AH56" s="15">
        <v>14</v>
      </c>
    </row>
    <row r="57" spans="1:34" x14ac:dyDescent="0.2">
      <c r="A57" t="s">
        <v>127</v>
      </c>
      <c r="B57" s="10">
        <v>51.812600000000003</v>
      </c>
      <c r="C57" s="10">
        <v>-1.293833</v>
      </c>
      <c r="D57" t="s">
        <v>136</v>
      </c>
      <c r="E57" t="s">
        <v>79</v>
      </c>
      <c r="F57">
        <v>8</v>
      </c>
      <c r="G57">
        <v>3</v>
      </c>
      <c r="H57">
        <f t="shared" si="0"/>
        <v>24</v>
      </c>
      <c r="I57">
        <f t="shared" si="2"/>
        <v>46</v>
      </c>
      <c r="J57">
        <f t="shared" si="1"/>
        <v>10</v>
      </c>
      <c r="K57">
        <v>102</v>
      </c>
      <c r="L57" t="s">
        <v>88</v>
      </c>
      <c r="M57" t="s">
        <v>89</v>
      </c>
      <c r="N57" t="s">
        <v>75</v>
      </c>
      <c r="O57" t="s">
        <v>113</v>
      </c>
      <c r="P57">
        <v>0</v>
      </c>
      <c r="Q57">
        <v>6</v>
      </c>
      <c r="R57">
        <v>1</v>
      </c>
      <c r="S57">
        <v>0</v>
      </c>
      <c r="T57">
        <v>0</v>
      </c>
      <c r="U57">
        <v>0</v>
      </c>
      <c r="V57">
        <v>11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7</v>
      </c>
      <c r="AD57">
        <v>0</v>
      </c>
      <c r="AE57">
        <v>3</v>
      </c>
      <c r="AF57">
        <v>11</v>
      </c>
      <c r="AG57">
        <v>2</v>
      </c>
      <c r="AH57" s="15">
        <v>3</v>
      </c>
    </row>
    <row r="58" spans="1:34" x14ac:dyDescent="0.2">
      <c r="A58" t="s">
        <v>128</v>
      </c>
      <c r="B58" s="10">
        <v>51.809583000000003</v>
      </c>
      <c r="C58" s="10">
        <v>-1.2956669999999999</v>
      </c>
      <c r="D58" t="s">
        <v>136</v>
      </c>
      <c r="E58" t="s">
        <v>79</v>
      </c>
      <c r="F58">
        <v>8</v>
      </c>
      <c r="G58">
        <v>3</v>
      </c>
      <c r="H58">
        <f t="shared" si="0"/>
        <v>24</v>
      </c>
      <c r="I58">
        <f t="shared" si="2"/>
        <v>73</v>
      </c>
      <c r="J58">
        <f t="shared" si="1"/>
        <v>7</v>
      </c>
      <c r="K58">
        <v>98</v>
      </c>
      <c r="L58" t="s">
        <v>88</v>
      </c>
      <c r="M58" t="s">
        <v>75</v>
      </c>
      <c r="N58" t="s">
        <v>75</v>
      </c>
      <c r="O58" t="s">
        <v>113</v>
      </c>
      <c r="P58">
        <v>0</v>
      </c>
      <c r="Q58">
        <v>4</v>
      </c>
      <c r="R58">
        <v>0</v>
      </c>
      <c r="S58">
        <v>0</v>
      </c>
      <c r="T58">
        <v>0</v>
      </c>
      <c r="U58">
        <v>0</v>
      </c>
      <c r="V58">
        <v>38</v>
      </c>
      <c r="W58">
        <v>0</v>
      </c>
      <c r="X58">
        <v>0</v>
      </c>
      <c r="Y58">
        <v>6</v>
      </c>
      <c r="Z58">
        <v>0</v>
      </c>
      <c r="AA58">
        <v>0</v>
      </c>
      <c r="AB58">
        <v>0</v>
      </c>
      <c r="AC58">
        <v>3</v>
      </c>
      <c r="AD58">
        <v>0</v>
      </c>
      <c r="AE58">
        <v>0</v>
      </c>
      <c r="AF58">
        <v>11</v>
      </c>
      <c r="AG58">
        <v>3</v>
      </c>
      <c r="AH58" s="15">
        <v>8</v>
      </c>
    </row>
    <row r="59" spans="1:34" x14ac:dyDescent="0.2">
      <c r="A59" t="s">
        <v>129</v>
      </c>
      <c r="B59" s="10">
        <v>51.807749999999999</v>
      </c>
      <c r="C59" s="10">
        <v>-1.29295</v>
      </c>
      <c r="D59" t="s">
        <v>136</v>
      </c>
      <c r="E59" t="s">
        <v>79</v>
      </c>
      <c r="F59">
        <v>8</v>
      </c>
      <c r="G59">
        <v>2</v>
      </c>
      <c r="H59">
        <f t="shared" si="0"/>
        <v>16</v>
      </c>
      <c r="I59">
        <f t="shared" si="2"/>
        <v>84</v>
      </c>
      <c r="J59">
        <f t="shared" si="1"/>
        <v>10</v>
      </c>
      <c r="K59">
        <v>285</v>
      </c>
      <c r="L59" t="s">
        <v>92</v>
      </c>
      <c r="M59" t="s">
        <v>75</v>
      </c>
      <c r="N59" t="s">
        <v>89</v>
      </c>
      <c r="O59" t="s">
        <v>113</v>
      </c>
      <c r="P59">
        <v>1</v>
      </c>
      <c r="Q59">
        <v>8</v>
      </c>
      <c r="R59">
        <v>0</v>
      </c>
      <c r="S59">
        <v>0</v>
      </c>
      <c r="T59">
        <v>0</v>
      </c>
      <c r="U59">
        <v>0</v>
      </c>
      <c r="V59">
        <v>43</v>
      </c>
      <c r="W59">
        <v>0</v>
      </c>
      <c r="X59">
        <v>1</v>
      </c>
      <c r="Y59">
        <v>8</v>
      </c>
      <c r="Z59">
        <v>0</v>
      </c>
      <c r="AA59">
        <v>0</v>
      </c>
      <c r="AB59">
        <v>0</v>
      </c>
      <c r="AC59">
        <v>9</v>
      </c>
      <c r="AD59">
        <v>1</v>
      </c>
      <c r="AE59">
        <v>0</v>
      </c>
      <c r="AF59">
        <v>4</v>
      </c>
      <c r="AG59">
        <v>4</v>
      </c>
      <c r="AH59" s="15">
        <v>5</v>
      </c>
    </row>
    <row r="60" spans="1:34" x14ac:dyDescent="0.2">
      <c r="A60" t="s">
        <v>130</v>
      </c>
      <c r="B60" s="10">
        <v>51.808599999999998</v>
      </c>
      <c r="C60" s="10">
        <v>-1.288683</v>
      </c>
      <c r="D60" t="s">
        <v>136</v>
      </c>
      <c r="E60" t="s">
        <v>73</v>
      </c>
      <c r="F60">
        <v>6</v>
      </c>
      <c r="G60">
        <v>3</v>
      </c>
      <c r="H60">
        <f t="shared" si="0"/>
        <v>18</v>
      </c>
      <c r="I60">
        <f t="shared" si="2"/>
        <v>96</v>
      </c>
      <c r="J60">
        <f t="shared" si="1"/>
        <v>8</v>
      </c>
      <c r="K60">
        <v>274</v>
      </c>
      <c r="L60" t="s">
        <v>92</v>
      </c>
      <c r="M60" t="s">
        <v>76</v>
      </c>
      <c r="N60" t="s">
        <v>89</v>
      </c>
      <c r="O60" t="s">
        <v>113</v>
      </c>
      <c r="P60">
        <v>1</v>
      </c>
      <c r="Q60">
        <v>12</v>
      </c>
      <c r="R60">
        <v>1</v>
      </c>
      <c r="S60">
        <v>0</v>
      </c>
      <c r="T60">
        <v>0</v>
      </c>
      <c r="U60">
        <v>0</v>
      </c>
      <c r="V60">
        <v>55</v>
      </c>
      <c r="W60">
        <v>0</v>
      </c>
      <c r="X60">
        <v>0</v>
      </c>
      <c r="Y60">
        <v>11</v>
      </c>
      <c r="Z60">
        <v>0</v>
      </c>
      <c r="AA60">
        <v>0</v>
      </c>
      <c r="AB60">
        <v>0</v>
      </c>
      <c r="AC60">
        <v>6</v>
      </c>
      <c r="AD60">
        <v>0</v>
      </c>
      <c r="AE60">
        <v>0</v>
      </c>
      <c r="AF60">
        <v>4</v>
      </c>
      <c r="AG60">
        <v>0</v>
      </c>
      <c r="AH60" s="15">
        <v>6</v>
      </c>
    </row>
    <row r="61" spans="1:34" x14ac:dyDescent="0.2">
      <c r="A61" t="s">
        <v>131</v>
      </c>
      <c r="B61" s="10">
        <v>51.811216999999999</v>
      </c>
      <c r="C61" s="10">
        <v>-1.2882830000000001</v>
      </c>
      <c r="D61" t="s">
        <v>136</v>
      </c>
      <c r="E61" t="s">
        <v>73</v>
      </c>
      <c r="F61">
        <v>6</v>
      </c>
      <c r="G61">
        <v>3</v>
      </c>
      <c r="H61">
        <f t="shared" si="0"/>
        <v>18</v>
      </c>
      <c r="I61">
        <f t="shared" si="2"/>
        <v>30</v>
      </c>
      <c r="J61">
        <f t="shared" si="1"/>
        <v>5</v>
      </c>
      <c r="K61">
        <v>278</v>
      </c>
      <c r="L61" t="s">
        <v>92</v>
      </c>
      <c r="M61" t="s">
        <v>76</v>
      </c>
      <c r="N61" t="s">
        <v>75</v>
      </c>
      <c r="O61" t="s">
        <v>113</v>
      </c>
      <c r="P61">
        <v>0</v>
      </c>
      <c r="Q61">
        <v>5</v>
      </c>
      <c r="R61">
        <v>0</v>
      </c>
      <c r="S61">
        <v>0</v>
      </c>
      <c r="T61">
        <v>0</v>
      </c>
      <c r="U61">
        <v>0</v>
      </c>
      <c r="V61">
        <v>16</v>
      </c>
      <c r="W61">
        <v>0</v>
      </c>
      <c r="X61">
        <v>0</v>
      </c>
      <c r="Y61">
        <v>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 s="15">
        <v>6</v>
      </c>
    </row>
    <row r="62" spans="1:34" x14ac:dyDescent="0.2">
      <c r="A62" t="s">
        <v>72</v>
      </c>
      <c r="B62" s="10">
        <v>51.822099999999999</v>
      </c>
      <c r="C62" s="10">
        <v>-1.2992330000000001</v>
      </c>
      <c r="D62" t="s">
        <v>137</v>
      </c>
      <c r="E62" t="s">
        <v>73</v>
      </c>
      <c r="F62">
        <v>6</v>
      </c>
      <c r="G62">
        <v>3</v>
      </c>
      <c r="H62">
        <f t="shared" si="0"/>
        <v>18</v>
      </c>
      <c r="I62">
        <f t="shared" si="2"/>
        <v>70</v>
      </c>
      <c r="J62">
        <f t="shared" si="1"/>
        <v>8</v>
      </c>
      <c r="K62" s="11">
        <v>225</v>
      </c>
      <c r="L62" t="s">
        <v>74</v>
      </c>
      <c r="M62" t="s">
        <v>75</v>
      </c>
      <c r="N62" t="s">
        <v>76</v>
      </c>
      <c r="O62" t="s">
        <v>77</v>
      </c>
      <c r="P62">
        <v>1</v>
      </c>
      <c r="Q62">
        <v>8</v>
      </c>
      <c r="R62">
        <v>0</v>
      </c>
      <c r="S62">
        <v>0</v>
      </c>
      <c r="T62">
        <v>0</v>
      </c>
      <c r="U62">
        <v>0</v>
      </c>
      <c r="V62">
        <v>15</v>
      </c>
      <c r="W62">
        <v>0</v>
      </c>
      <c r="X62">
        <v>0</v>
      </c>
      <c r="Y62">
        <v>8</v>
      </c>
      <c r="Z62">
        <v>0</v>
      </c>
      <c r="AA62">
        <v>0</v>
      </c>
      <c r="AB62">
        <v>0</v>
      </c>
      <c r="AC62">
        <v>5</v>
      </c>
      <c r="AD62">
        <v>0</v>
      </c>
      <c r="AE62">
        <v>0</v>
      </c>
      <c r="AF62">
        <v>1</v>
      </c>
      <c r="AG62">
        <v>1</v>
      </c>
      <c r="AH62" s="15">
        <v>31</v>
      </c>
    </row>
    <row r="63" spans="1:34" x14ac:dyDescent="0.2">
      <c r="A63" t="s">
        <v>78</v>
      </c>
      <c r="B63" s="10">
        <v>51.822516999999998</v>
      </c>
      <c r="C63" s="10">
        <v>-1.3022499999999999</v>
      </c>
      <c r="D63" t="s">
        <v>137</v>
      </c>
      <c r="E63" t="s">
        <v>79</v>
      </c>
      <c r="F63">
        <v>8</v>
      </c>
      <c r="G63">
        <v>3</v>
      </c>
      <c r="H63">
        <f t="shared" si="0"/>
        <v>24</v>
      </c>
      <c r="I63">
        <f t="shared" si="2"/>
        <v>95</v>
      </c>
      <c r="J63">
        <f t="shared" si="1"/>
        <v>8</v>
      </c>
      <c r="K63">
        <v>150</v>
      </c>
      <c r="L63" t="s">
        <v>80</v>
      </c>
      <c r="M63" t="s">
        <v>81</v>
      </c>
      <c r="N63" t="s">
        <v>75</v>
      </c>
      <c r="O63" t="s">
        <v>77</v>
      </c>
      <c r="P63">
        <v>0</v>
      </c>
      <c r="Q63">
        <v>6</v>
      </c>
      <c r="R63">
        <v>0</v>
      </c>
      <c r="S63">
        <v>0</v>
      </c>
      <c r="T63">
        <v>0</v>
      </c>
      <c r="U63">
        <v>0</v>
      </c>
      <c r="V63">
        <v>6</v>
      </c>
      <c r="W63">
        <v>0</v>
      </c>
      <c r="X63">
        <v>0</v>
      </c>
      <c r="Y63">
        <v>7</v>
      </c>
      <c r="Z63">
        <v>0</v>
      </c>
      <c r="AA63">
        <v>0</v>
      </c>
      <c r="AB63">
        <v>0</v>
      </c>
      <c r="AC63">
        <v>21</v>
      </c>
      <c r="AD63">
        <v>0</v>
      </c>
      <c r="AE63">
        <v>1</v>
      </c>
      <c r="AF63">
        <v>5</v>
      </c>
      <c r="AG63">
        <v>1</v>
      </c>
      <c r="AH63" s="15">
        <v>48</v>
      </c>
    </row>
    <row r="64" spans="1:34" x14ac:dyDescent="0.2">
      <c r="A64" t="s">
        <v>82</v>
      </c>
      <c r="B64" s="10">
        <v>51.823616999999999</v>
      </c>
      <c r="C64" s="10">
        <v>-1.3056000000000001</v>
      </c>
      <c r="D64" t="s">
        <v>137</v>
      </c>
      <c r="E64" t="s">
        <v>73</v>
      </c>
      <c r="F64">
        <v>6</v>
      </c>
      <c r="G64">
        <v>3</v>
      </c>
      <c r="H64">
        <f t="shared" si="0"/>
        <v>18</v>
      </c>
      <c r="I64">
        <f t="shared" si="2"/>
        <v>87</v>
      </c>
      <c r="J64">
        <f t="shared" si="1"/>
        <v>8</v>
      </c>
      <c r="K64">
        <v>179</v>
      </c>
      <c r="L64" t="s">
        <v>83</v>
      </c>
      <c r="M64" t="s">
        <v>84</v>
      </c>
      <c r="N64" t="s">
        <v>85</v>
      </c>
      <c r="O64" t="s">
        <v>86</v>
      </c>
      <c r="P64">
        <v>5</v>
      </c>
      <c r="Q64">
        <v>7</v>
      </c>
      <c r="R64">
        <v>0</v>
      </c>
      <c r="S64">
        <v>0</v>
      </c>
      <c r="T64">
        <v>0</v>
      </c>
      <c r="U64">
        <v>0</v>
      </c>
      <c r="V64">
        <v>12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9</v>
      </c>
      <c r="AD64">
        <v>0</v>
      </c>
      <c r="AE64">
        <v>0</v>
      </c>
      <c r="AF64">
        <v>9</v>
      </c>
      <c r="AG64">
        <v>1</v>
      </c>
      <c r="AH64" s="15">
        <v>41</v>
      </c>
    </row>
    <row r="65" spans="1:34" x14ac:dyDescent="0.2">
      <c r="A65" t="s">
        <v>87</v>
      </c>
      <c r="B65" s="10">
        <v>51.822032999999998</v>
      </c>
      <c r="C65" s="10">
        <v>-1.30945</v>
      </c>
      <c r="D65" t="s">
        <v>137</v>
      </c>
      <c r="E65" t="s">
        <v>73</v>
      </c>
      <c r="F65">
        <v>6</v>
      </c>
      <c r="G65">
        <v>3</v>
      </c>
      <c r="H65">
        <f t="shared" si="0"/>
        <v>18</v>
      </c>
      <c r="I65">
        <f t="shared" si="2"/>
        <v>58</v>
      </c>
      <c r="J65">
        <f t="shared" si="1"/>
        <v>10</v>
      </c>
      <c r="K65">
        <v>88</v>
      </c>
      <c r="L65" t="s">
        <v>88</v>
      </c>
      <c r="M65" t="s">
        <v>81</v>
      </c>
      <c r="N65" t="s">
        <v>89</v>
      </c>
      <c r="O65" t="s">
        <v>86</v>
      </c>
      <c r="P65">
        <v>1</v>
      </c>
      <c r="Q65">
        <v>1</v>
      </c>
      <c r="R65">
        <v>0</v>
      </c>
      <c r="S65">
        <v>0</v>
      </c>
      <c r="T65">
        <v>0</v>
      </c>
      <c r="U65">
        <v>6</v>
      </c>
      <c r="V65">
        <v>10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17</v>
      </c>
      <c r="AD65">
        <v>0</v>
      </c>
      <c r="AE65">
        <v>1</v>
      </c>
      <c r="AF65">
        <v>2</v>
      </c>
      <c r="AG65">
        <v>1</v>
      </c>
      <c r="AH65" s="15">
        <v>17</v>
      </c>
    </row>
    <row r="66" spans="1:34" x14ac:dyDescent="0.2">
      <c r="A66" t="s">
        <v>90</v>
      </c>
      <c r="B66" s="10">
        <v>51.820900000000002</v>
      </c>
      <c r="C66" s="10">
        <v>-1.3093669999999999</v>
      </c>
      <c r="D66" t="s">
        <v>137</v>
      </c>
      <c r="E66" t="s">
        <v>91</v>
      </c>
      <c r="F66">
        <v>2</v>
      </c>
      <c r="G66">
        <v>2</v>
      </c>
      <c r="H66">
        <f t="shared" ref="H66:H91" si="3">F66*G66</f>
        <v>4</v>
      </c>
      <c r="I66">
        <f t="shared" si="2"/>
        <v>65</v>
      </c>
      <c r="J66">
        <f t="shared" ref="J66:J98" si="4">COUNTIF(P66:BS66,"&gt;0")</f>
        <v>5</v>
      </c>
      <c r="K66">
        <v>255</v>
      </c>
      <c r="L66" t="s">
        <v>92</v>
      </c>
      <c r="M66" t="s">
        <v>85</v>
      </c>
      <c r="N66" t="s">
        <v>84</v>
      </c>
      <c r="O66" t="s">
        <v>86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10</v>
      </c>
      <c r="AD66">
        <v>0</v>
      </c>
      <c r="AE66">
        <v>0</v>
      </c>
      <c r="AF66">
        <v>5</v>
      </c>
      <c r="AG66">
        <v>1</v>
      </c>
      <c r="AH66" s="15">
        <v>7</v>
      </c>
    </row>
    <row r="67" spans="1:34" x14ac:dyDescent="0.2">
      <c r="A67" t="s">
        <v>93</v>
      </c>
      <c r="B67" s="10">
        <v>51.818367000000002</v>
      </c>
      <c r="C67" s="10">
        <v>-1.3125830000000001</v>
      </c>
      <c r="D67" t="s">
        <v>137</v>
      </c>
      <c r="E67" t="s">
        <v>73</v>
      </c>
      <c r="F67">
        <v>6</v>
      </c>
      <c r="G67">
        <v>2</v>
      </c>
      <c r="H67">
        <f t="shared" si="3"/>
        <v>12</v>
      </c>
      <c r="I67">
        <f t="shared" ref="I67:I91" si="5">SUM(P67:AH67)</f>
        <v>79</v>
      </c>
      <c r="J67">
        <f t="shared" si="4"/>
        <v>5</v>
      </c>
      <c r="K67">
        <v>255</v>
      </c>
      <c r="L67" t="s">
        <v>92</v>
      </c>
      <c r="M67" t="s">
        <v>75</v>
      </c>
      <c r="N67" t="s">
        <v>85</v>
      </c>
      <c r="O67" t="s">
        <v>94</v>
      </c>
      <c r="P67">
        <v>0</v>
      </c>
      <c r="Q67">
        <v>6</v>
      </c>
      <c r="R67">
        <v>0</v>
      </c>
      <c r="S67">
        <v>0</v>
      </c>
      <c r="T67">
        <v>0</v>
      </c>
      <c r="U67">
        <v>0</v>
      </c>
      <c r="V67">
        <v>28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25</v>
      </c>
      <c r="AD67">
        <v>0</v>
      </c>
      <c r="AE67">
        <v>0</v>
      </c>
      <c r="AF67">
        <v>6</v>
      </c>
      <c r="AG67">
        <v>0</v>
      </c>
      <c r="AH67" s="15">
        <v>14</v>
      </c>
    </row>
    <row r="68" spans="1:34" x14ac:dyDescent="0.2">
      <c r="A68" t="s">
        <v>95</v>
      </c>
      <c r="B68" s="10">
        <v>51.817667</v>
      </c>
      <c r="C68" s="10">
        <v>-1.314683</v>
      </c>
      <c r="D68" t="s">
        <v>137</v>
      </c>
      <c r="E68" t="s">
        <v>96</v>
      </c>
      <c r="F68">
        <v>4</v>
      </c>
      <c r="G68">
        <v>3</v>
      </c>
      <c r="H68">
        <f t="shared" si="3"/>
        <v>12</v>
      </c>
      <c r="I68">
        <f t="shared" si="5"/>
        <v>36</v>
      </c>
      <c r="J68">
        <f t="shared" si="4"/>
        <v>6</v>
      </c>
      <c r="K68">
        <v>2</v>
      </c>
      <c r="L68" t="s">
        <v>97</v>
      </c>
      <c r="M68" t="s">
        <v>84</v>
      </c>
      <c r="N68" t="s">
        <v>84</v>
      </c>
      <c r="O68" t="s">
        <v>94</v>
      </c>
      <c r="P68">
        <v>0</v>
      </c>
      <c r="Q68">
        <v>4</v>
      </c>
      <c r="R68">
        <v>1</v>
      </c>
      <c r="S68">
        <v>0</v>
      </c>
      <c r="T68">
        <v>0</v>
      </c>
      <c r="U68">
        <v>0</v>
      </c>
      <c r="V68">
        <v>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</v>
      </c>
      <c r="AD68">
        <v>0</v>
      </c>
      <c r="AE68">
        <v>0</v>
      </c>
      <c r="AF68">
        <v>8</v>
      </c>
      <c r="AG68">
        <v>0</v>
      </c>
      <c r="AH68" s="15">
        <v>14</v>
      </c>
    </row>
    <row r="69" spans="1:34" x14ac:dyDescent="0.2">
      <c r="A69" t="s">
        <v>98</v>
      </c>
      <c r="B69" s="10">
        <v>51.817332999999998</v>
      </c>
      <c r="C69" s="10">
        <v>-1.3145</v>
      </c>
      <c r="D69" t="s">
        <v>137</v>
      </c>
      <c r="E69" t="s">
        <v>73</v>
      </c>
      <c r="F69">
        <v>6</v>
      </c>
      <c r="G69">
        <v>3</v>
      </c>
      <c r="H69">
        <f t="shared" si="3"/>
        <v>18</v>
      </c>
      <c r="I69">
        <f t="shared" si="5"/>
        <v>88</v>
      </c>
      <c r="J69">
        <f t="shared" si="4"/>
        <v>8</v>
      </c>
      <c r="K69">
        <v>171</v>
      </c>
      <c r="L69" t="s">
        <v>83</v>
      </c>
      <c r="M69" t="s">
        <v>81</v>
      </c>
      <c r="N69" t="s">
        <v>89</v>
      </c>
      <c r="O69" t="s">
        <v>99</v>
      </c>
      <c r="P69">
        <v>1</v>
      </c>
      <c r="Q69">
        <v>7</v>
      </c>
      <c r="R69">
        <v>0</v>
      </c>
      <c r="S69">
        <v>0</v>
      </c>
      <c r="T69">
        <v>0</v>
      </c>
      <c r="U69">
        <v>0</v>
      </c>
      <c r="V69">
        <v>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12</v>
      </c>
      <c r="AD69">
        <v>0</v>
      </c>
      <c r="AE69">
        <v>2</v>
      </c>
      <c r="AF69">
        <v>5</v>
      </c>
      <c r="AG69">
        <v>1</v>
      </c>
      <c r="AH69" s="15">
        <v>53</v>
      </c>
    </row>
    <row r="70" spans="1:34" x14ac:dyDescent="0.2">
      <c r="A70" s="12" t="s">
        <v>100</v>
      </c>
      <c r="B70" s="10">
        <v>51.816682999999998</v>
      </c>
      <c r="C70" s="10">
        <v>-1.31325</v>
      </c>
      <c r="D70" t="s">
        <v>137</v>
      </c>
      <c r="E70" t="s">
        <v>73</v>
      </c>
      <c r="F70">
        <v>6</v>
      </c>
      <c r="G70">
        <v>2</v>
      </c>
      <c r="H70">
        <f t="shared" si="3"/>
        <v>12</v>
      </c>
      <c r="I70">
        <f t="shared" si="5"/>
        <v>0</v>
      </c>
      <c r="J70">
        <f t="shared" si="4"/>
        <v>0</v>
      </c>
      <c r="K70">
        <v>268</v>
      </c>
      <c r="L70" t="s">
        <v>92</v>
      </c>
      <c r="M70" t="s">
        <v>75</v>
      </c>
      <c r="N70" t="s">
        <v>89</v>
      </c>
      <c r="O70" t="s">
        <v>94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s="15">
        <v>0</v>
      </c>
    </row>
    <row r="71" spans="1:34" x14ac:dyDescent="0.2">
      <c r="A71" t="s">
        <v>101</v>
      </c>
      <c r="B71" s="10">
        <v>51.815100000000001</v>
      </c>
      <c r="C71" s="10">
        <v>-1.313367</v>
      </c>
      <c r="D71" t="s">
        <v>137</v>
      </c>
      <c r="E71" t="s">
        <v>102</v>
      </c>
      <c r="F71">
        <v>1</v>
      </c>
      <c r="G71">
        <v>3</v>
      </c>
      <c r="H71">
        <f t="shared" si="3"/>
        <v>3</v>
      </c>
      <c r="I71">
        <f t="shared" si="5"/>
        <v>18</v>
      </c>
      <c r="J71">
        <f t="shared" si="4"/>
        <v>9</v>
      </c>
      <c r="K71">
        <v>333</v>
      </c>
      <c r="L71" t="s">
        <v>103</v>
      </c>
      <c r="M71" t="s">
        <v>104</v>
      </c>
      <c r="N71" t="s">
        <v>84</v>
      </c>
      <c r="O71" t="s">
        <v>94</v>
      </c>
      <c r="P71">
        <v>1</v>
      </c>
      <c r="Q71">
        <v>4</v>
      </c>
      <c r="R71">
        <v>0</v>
      </c>
      <c r="S71">
        <v>0</v>
      </c>
      <c r="T71">
        <v>0</v>
      </c>
      <c r="U71">
        <v>0</v>
      </c>
      <c r="V71">
        <v>6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1</v>
      </c>
      <c r="AH71" s="15">
        <v>1</v>
      </c>
    </row>
    <row r="72" spans="1:34" x14ac:dyDescent="0.2">
      <c r="A72" t="s">
        <v>105</v>
      </c>
      <c r="B72" s="10">
        <v>51.817749999999997</v>
      </c>
      <c r="C72" s="10">
        <v>-1.310883</v>
      </c>
      <c r="D72" t="s">
        <v>137</v>
      </c>
      <c r="E72" t="s">
        <v>96</v>
      </c>
      <c r="F72">
        <v>4</v>
      </c>
      <c r="G72">
        <v>3</v>
      </c>
      <c r="H72">
        <f t="shared" si="3"/>
        <v>12</v>
      </c>
      <c r="I72">
        <f t="shared" si="5"/>
        <v>31</v>
      </c>
      <c r="J72">
        <f t="shared" si="4"/>
        <v>8</v>
      </c>
      <c r="K72">
        <v>0</v>
      </c>
      <c r="L72" t="s">
        <v>97</v>
      </c>
      <c r="M72" t="s">
        <v>85</v>
      </c>
      <c r="N72" t="s">
        <v>84</v>
      </c>
      <c r="O72" t="s">
        <v>94</v>
      </c>
      <c r="P72">
        <v>1</v>
      </c>
      <c r="Q72">
        <v>1</v>
      </c>
      <c r="R72">
        <v>1</v>
      </c>
      <c r="S72">
        <v>0</v>
      </c>
      <c r="T72">
        <v>0</v>
      </c>
      <c r="U72">
        <v>0</v>
      </c>
      <c r="V72">
        <v>11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</v>
      </c>
      <c r="AD72">
        <v>0</v>
      </c>
      <c r="AE72">
        <v>0</v>
      </c>
      <c r="AF72">
        <v>5</v>
      </c>
      <c r="AG72">
        <v>1</v>
      </c>
      <c r="AH72" s="15">
        <v>8</v>
      </c>
    </row>
    <row r="73" spans="1:34" x14ac:dyDescent="0.2">
      <c r="A73" t="s">
        <v>106</v>
      </c>
      <c r="B73" s="10">
        <v>51.816133000000001</v>
      </c>
      <c r="C73" s="10">
        <v>-1.3091330000000001</v>
      </c>
      <c r="D73" t="s">
        <v>137</v>
      </c>
      <c r="E73" t="s">
        <v>96</v>
      </c>
      <c r="F73">
        <v>4</v>
      </c>
      <c r="G73">
        <v>3</v>
      </c>
      <c r="H73">
        <f t="shared" si="3"/>
        <v>12</v>
      </c>
      <c r="I73">
        <f t="shared" si="5"/>
        <v>43</v>
      </c>
      <c r="J73">
        <f t="shared" si="4"/>
        <v>4</v>
      </c>
      <c r="K73">
        <v>358</v>
      </c>
      <c r="L73" t="s">
        <v>97</v>
      </c>
      <c r="M73" t="s">
        <v>85</v>
      </c>
      <c r="N73" t="s">
        <v>85</v>
      </c>
      <c r="O73" t="s">
        <v>94</v>
      </c>
      <c r="P73">
        <v>0</v>
      </c>
      <c r="Q73">
        <v>5</v>
      </c>
      <c r="R73">
        <v>0</v>
      </c>
      <c r="S73">
        <v>0</v>
      </c>
      <c r="T73">
        <v>0</v>
      </c>
      <c r="U73">
        <v>0</v>
      </c>
      <c r="V73">
        <v>18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</v>
      </c>
      <c r="AD73">
        <v>0</v>
      </c>
      <c r="AE73">
        <v>0</v>
      </c>
      <c r="AF73">
        <v>0</v>
      </c>
      <c r="AG73">
        <v>0</v>
      </c>
      <c r="AH73" s="15">
        <v>17</v>
      </c>
    </row>
    <row r="74" spans="1:34" x14ac:dyDescent="0.2">
      <c r="A74" t="s">
        <v>107</v>
      </c>
      <c r="B74" s="10">
        <v>51.815100000000001</v>
      </c>
      <c r="C74" s="10">
        <v>-1.307833</v>
      </c>
      <c r="D74" t="s">
        <v>137</v>
      </c>
      <c r="E74" t="s">
        <v>96</v>
      </c>
      <c r="F74">
        <v>4</v>
      </c>
      <c r="G74">
        <v>3</v>
      </c>
      <c r="H74">
        <f t="shared" si="3"/>
        <v>12</v>
      </c>
      <c r="I74">
        <f t="shared" si="5"/>
        <v>48</v>
      </c>
      <c r="J74">
        <f t="shared" si="4"/>
        <v>7</v>
      </c>
      <c r="K74">
        <v>4</v>
      </c>
      <c r="L74" t="s">
        <v>97</v>
      </c>
      <c r="M74" t="s">
        <v>84</v>
      </c>
      <c r="N74" t="s">
        <v>84</v>
      </c>
      <c r="O74" t="s">
        <v>108</v>
      </c>
      <c r="P74">
        <v>0</v>
      </c>
      <c r="Q74">
        <v>3</v>
      </c>
      <c r="R74">
        <v>0</v>
      </c>
      <c r="S74">
        <v>0</v>
      </c>
      <c r="T74">
        <v>0</v>
      </c>
      <c r="U74">
        <v>0</v>
      </c>
      <c r="V74">
        <v>24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4</v>
      </c>
      <c r="AD74">
        <v>0</v>
      </c>
      <c r="AE74">
        <v>0</v>
      </c>
      <c r="AF74">
        <v>6</v>
      </c>
      <c r="AG74">
        <v>3</v>
      </c>
      <c r="AH74" s="15">
        <v>5</v>
      </c>
    </row>
    <row r="75" spans="1:34" x14ac:dyDescent="0.2">
      <c r="A75" t="s">
        <v>109</v>
      </c>
      <c r="B75" s="10">
        <v>51.816766999999999</v>
      </c>
      <c r="C75" s="10">
        <v>-1.3060499999999999</v>
      </c>
      <c r="D75" t="s">
        <v>137</v>
      </c>
      <c r="E75" t="s">
        <v>110</v>
      </c>
      <c r="F75">
        <v>2</v>
      </c>
      <c r="G75">
        <v>2</v>
      </c>
      <c r="H75">
        <f t="shared" si="3"/>
        <v>4</v>
      </c>
      <c r="I75">
        <f t="shared" si="5"/>
        <v>31</v>
      </c>
      <c r="J75">
        <f t="shared" si="4"/>
        <v>6</v>
      </c>
      <c r="K75">
        <v>268</v>
      </c>
      <c r="L75" t="s">
        <v>92</v>
      </c>
      <c r="M75" t="s">
        <v>104</v>
      </c>
      <c r="N75" t="s">
        <v>104</v>
      </c>
      <c r="O75" t="s">
        <v>99</v>
      </c>
      <c r="P75">
        <v>1</v>
      </c>
      <c r="Q75">
        <v>6</v>
      </c>
      <c r="R75">
        <v>0</v>
      </c>
      <c r="S75">
        <v>0</v>
      </c>
      <c r="T75">
        <v>0</v>
      </c>
      <c r="U75">
        <v>0</v>
      </c>
      <c r="V75">
        <v>6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</v>
      </c>
      <c r="AD75">
        <v>0</v>
      </c>
      <c r="AE75">
        <v>5</v>
      </c>
      <c r="AF75">
        <v>0</v>
      </c>
      <c r="AG75">
        <v>0</v>
      </c>
      <c r="AH75" s="15">
        <v>11</v>
      </c>
    </row>
    <row r="76" spans="1:34" x14ac:dyDescent="0.2">
      <c r="A76" t="s">
        <v>111</v>
      </c>
      <c r="B76" s="10">
        <v>51.816682999999998</v>
      </c>
      <c r="C76" s="10">
        <v>-1.305917</v>
      </c>
      <c r="D76" t="s">
        <v>137</v>
      </c>
      <c r="E76" t="s">
        <v>110</v>
      </c>
      <c r="F76">
        <v>2</v>
      </c>
      <c r="G76">
        <v>2</v>
      </c>
      <c r="H76">
        <f t="shared" si="3"/>
        <v>4</v>
      </c>
      <c r="I76">
        <f t="shared" si="5"/>
        <v>79</v>
      </c>
      <c r="J76">
        <f t="shared" si="4"/>
        <v>8</v>
      </c>
      <c r="K76">
        <v>84</v>
      </c>
      <c r="L76" t="s">
        <v>88</v>
      </c>
      <c r="M76" t="s">
        <v>104</v>
      </c>
      <c r="N76" t="s">
        <v>104</v>
      </c>
      <c r="O76" t="s">
        <v>99</v>
      </c>
      <c r="P76">
        <v>2</v>
      </c>
      <c r="Q76">
        <v>5</v>
      </c>
      <c r="R76">
        <v>0</v>
      </c>
      <c r="S76">
        <v>0</v>
      </c>
      <c r="T76">
        <v>0</v>
      </c>
      <c r="U76">
        <v>0</v>
      </c>
      <c r="V76">
        <v>35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7</v>
      </c>
      <c r="AD76">
        <v>0</v>
      </c>
      <c r="AE76">
        <v>5</v>
      </c>
      <c r="AF76">
        <v>5</v>
      </c>
      <c r="AG76">
        <v>1</v>
      </c>
      <c r="AH76" s="15">
        <v>19</v>
      </c>
    </row>
    <row r="77" spans="1:34" x14ac:dyDescent="0.2">
      <c r="A77" t="s">
        <v>112</v>
      </c>
      <c r="B77" s="10">
        <v>51.815632999999998</v>
      </c>
      <c r="C77" s="10">
        <v>-1.2991999999999999</v>
      </c>
      <c r="D77" t="s">
        <v>137</v>
      </c>
      <c r="E77" t="s">
        <v>96</v>
      </c>
      <c r="F77">
        <v>4</v>
      </c>
      <c r="G77">
        <v>3</v>
      </c>
      <c r="H77">
        <f t="shared" si="3"/>
        <v>12</v>
      </c>
      <c r="I77">
        <f t="shared" si="5"/>
        <v>78</v>
      </c>
      <c r="J77">
        <f t="shared" si="4"/>
        <v>7</v>
      </c>
      <c r="K77">
        <v>179</v>
      </c>
      <c r="L77" t="s">
        <v>83</v>
      </c>
      <c r="M77" t="s">
        <v>84</v>
      </c>
      <c r="N77" t="s">
        <v>85</v>
      </c>
      <c r="O77" t="s">
        <v>113</v>
      </c>
      <c r="P77">
        <v>0</v>
      </c>
      <c r="Q77">
        <v>14</v>
      </c>
      <c r="R77">
        <v>0</v>
      </c>
      <c r="S77">
        <v>0</v>
      </c>
      <c r="T77">
        <v>0</v>
      </c>
      <c r="U77">
        <v>0</v>
      </c>
      <c r="V77">
        <v>3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7</v>
      </c>
      <c r="AD77">
        <v>0</v>
      </c>
      <c r="AE77">
        <v>1</v>
      </c>
      <c r="AF77">
        <v>3</v>
      </c>
      <c r="AG77">
        <v>2</v>
      </c>
      <c r="AH77" s="15">
        <v>48</v>
      </c>
    </row>
    <row r="78" spans="1:34" x14ac:dyDescent="0.2">
      <c r="A78" t="s">
        <v>114</v>
      </c>
      <c r="B78" s="10">
        <v>51.815617000000003</v>
      </c>
      <c r="C78" s="10">
        <v>-1.3024169999999999</v>
      </c>
      <c r="D78" t="s">
        <v>137</v>
      </c>
      <c r="E78" t="s">
        <v>73</v>
      </c>
      <c r="F78">
        <v>6</v>
      </c>
      <c r="G78">
        <v>3</v>
      </c>
      <c r="H78">
        <f t="shared" si="3"/>
        <v>18</v>
      </c>
      <c r="I78">
        <f t="shared" si="5"/>
        <v>92</v>
      </c>
      <c r="J78">
        <f t="shared" si="4"/>
        <v>8</v>
      </c>
      <c r="K78">
        <v>182</v>
      </c>
      <c r="L78" t="s">
        <v>83</v>
      </c>
      <c r="M78" t="s">
        <v>85</v>
      </c>
      <c r="N78" t="s">
        <v>85</v>
      </c>
      <c r="O78" t="s">
        <v>115</v>
      </c>
      <c r="P78">
        <v>5</v>
      </c>
      <c r="Q78">
        <v>9</v>
      </c>
      <c r="R78">
        <v>0</v>
      </c>
      <c r="S78">
        <v>0</v>
      </c>
      <c r="T78">
        <v>0</v>
      </c>
      <c r="U78">
        <v>0</v>
      </c>
      <c r="V78">
        <v>27</v>
      </c>
      <c r="W78">
        <v>0</v>
      </c>
      <c r="X78">
        <v>0</v>
      </c>
      <c r="Y78">
        <v>4</v>
      </c>
      <c r="Z78">
        <v>0</v>
      </c>
      <c r="AA78">
        <v>0</v>
      </c>
      <c r="AB78">
        <v>0</v>
      </c>
      <c r="AC78">
        <v>6</v>
      </c>
      <c r="AD78">
        <v>0</v>
      </c>
      <c r="AE78">
        <v>0</v>
      </c>
      <c r="AF78">
        <v>3</v>
      </c>
      <c r="AG78">
        <v>1</v>
      </c>
      <c r="AH78" s="15">
        <v>37</v>
      </c>
    </row>
    <row r="79" spans="1:34" x14ac:dyDescent="0.2">
      <c r="A79" t="s">
        <v>116</v>
      </c>
      <c r="B79" s="10">
        <v>51.813732999999999</v>
      </c>
      <c r="C79" s="10">
        <v>-1.3007169999999999</v>
      </c>
      <c r="D79" t="s">
        <v>137</v>
      </c>
      <c r="E79" t="s">
        <v>96</v>
      </c>
      <c r="F79">
        <v>4</v>
      </c>
      <c r="G79">
        <v>2</v>
      </c>
      <c r="H79">
        <f t="shared" si="3"/>
        <v>8</v>
      </c>
      <c r="I79">
        <f t="shared" si="5"/>
        <v>69</v>
      </c>
      <c r="J79">
        <f t="shared" si="4"/>
        <v>10</v>
      </c>
      <c r="K79">
        <v>165</v>
      </c>
      <c r="L79" t="s">
        <v>83</v>
      </c>
      <c r="M79" t="s">
        <v>76</v>
      </c>
      <c r="N79" t="s">
        <v>84</v>
      </c>
      <c r="O79" t="s">
        <v>86</v>
      </c>
      <c r="P79">
        <v>2</v>
      </c>
      <c r="Q79">
        <v>10</v>
      </c>
      <c r="R79">
        <v>1</v>
      </c>
      <c r="S79">
        <v>0</v>
      </c>
      <c r="T79">
        <v>1</v>
      </c>
      <c r="U79">
        <v>0</v>
      </c>
      <c r="V79">
        <v>15</v>
      </c>
      <c r="W79">
        <v>0</v>
      </c>
      <c r="X79">
        <v>0</v>
      </c>
      <c r="Y79">
        <v>3</v>
      </c>
      <c r="Z79">
        <v>0</v>
      </c>
      <c r="AA79">
        <v>0</v>
      </c>
      <c r="AB79">
        <v>0</v>
      </c>
      <c r="AC79">
        <v>6</v>
      </c>
      <c r="AD79">
        <v>0</v>
      </c>
      <c r="AE79">
        <v>0</v>
      </c>
      <c r="AF79">
        <v>2</v>
      </c>
      <c r="AG79">
        <v>1</v>
      </c>
      <c r="AH79" s="15">
        <v>28</v>
      </c>
    </row>
    <row r="80" spans="1:34" x14ac:dyDescent="0.2">
      <c r="A80" t="s">
        <v>117</v>
      </c>
      <c r="B80" s="10">
        <v>51.810867000000002</v>
      </c>
      <c r="C80" s="10">
        <v>-1.3022</v>
      </c>
      <c r="D80" t="s">
        <v>137</v>
      </c>
      <c r="E80" t="s">
        <v>79</v>
      </c>
      <c r="F80">
        <v>8</v>
      </c>
      <c r="G80">
        <v>3</v>
      </c>
      <c r="H80">
        <f t="shared" si="3"/>
        <v>24</v>
      </c>
      <c r="I80">
        <f t="shared" si="5"/>
        <v>37</v>
      </c>
      <c r="J80">
        <f t="shared" si="4"/>
        <v>7</v>
      </c>
      <c r="K80">
        <v>314</v>
      </c>
      <c r="L80" t="s">
        <v>103</v>
      </c>
      <c r="M80" t="s">
        <v>118</v>
      </c>
      <c r="N80" t="s">
        <v>75</v>
      </c>
      <c r="O80" t="s">
        <v>86</v>
      </c>
      <c r="P80">
        <v>1</v>
      </c>
      <c r="Q80">
        <v>3</v>
      </c>
      <c r="R80">
        <v>0</v>
      </c>
      <c r="S80">
        <v>0</v>
      </c>
      <c r="T80">
        <v>0</v>
      </c>
      <c r="U80">
        <v>0</v>
      </c>
      <c r="V80">
        <v>3</v>
      </c>
      <c r="W80">
        <v>0</v>
      </c>
      <c r="X80">
        <v>0</v>
      </c>
      <c r="Y80">
        <v>10</v>
      </c>
      <c r="Z80">
        <v>0</v>
      </c>
      <c r="AA80">
        <v>0</v>
      </c>
      <c r="AB80">
        <v>0</v>
      </c>
      <c r="AC80">
        <v>7</v>
      </c>
      <c r="AD80">
        <v>0</v>
      </c>
      <c r="AE80">
        <v>0</v>
      </c>
      <c r="AF80">
        <v>9</v>
      </c>
      <c r="AG80">
        <v>0</v>
      </c>
      <c r="AH80" s="15">
        <v>4</v>
      </c>
    </row>
    <row r="81" spans="1:34" x14ac:dyDescent="0.2">
      <c r="A81" s="12" t="s">
        <v>119</v>
      </c>
      <c r="B81" s="10">
        <v>51.818550000000002</v>
      </c>
      <c r="C81" s="10">
        <v>-1.2959670000000001</v>
      </c>
      <c r="D81" t="s">
        <v>137</v>
      </c>
      <c r="E81" t="s">
        <v>79</v>
      </c>
      <c r="F81">
        <v>8</v>
      </c>
      <c r="G81">
        <v>3</v>
      </c>
      <c r="H81">
        <f t="shared" si="3"/>
        <v>24</v>
      </c>
      <c r="I81">
        <f t="shared" si="5"/>
        <v>0</v>
      </c>
      <c r="J81">
        <f t="shared" si="4"/>
        <v>0</v>
      </c>
      <c r="K81">
        <v>211</v>
      </c>
      <c r="L81" t="s">
        <v>74</v>
      </c>
      <c r="M81" t="s">
        <v>118</v>
      </c>
      <c r="N81" t="s">
        <v>89</v>
      </c>
      <c r="O81" t="s">
        <v>115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s="15">
        <v>0</v>
      </c>
    </row>
    <row r="82" spans="1:34" x14ac:dyDescent="0.2">
      <c r="A82" t="s">
        <v>120</v>
      </c>
      <c r="B82" s="10">
        <v>51.816716999999997</v>
      </c>
      <c r="C82" s="10">
        <v>-1.293917</v>
      </c>
      <c r="D82" t="s">
        <v>137</v>
      </c>
      <c r="E82" t="s">
        <v>79</v>
      </c>
      <c r="F82">
        <v>8</v>
      </c>
      <c r="G82">
        <v>2</v>
      </c>
      <c r="H82">
        <f t="shared" si="3"/>
        <v>16</v>
      </c>
      <c r="I82">
        <f t="shared" si="5"/>
        <v>35</v>
      </c>
      <c r="J82">
        <f t="shared" si="4"/>
        <v>8</v>
      </c>
      <c r="K82">
        <v>174</v>
      </c>
      <c r="L82" t="s">
        <v>83</v>
      </c>
      <c r="M82" t="s">
        <v>89</v>
      </c>
      <c r="N82" t="s">
        <v>85</v>
      </c>
      <c r="O82" t="s">
        <v>121</v>
      </c>
      <c r="P82">
        <v>1</v>
      </c>
      <c r="Q82">
        <v>9</v>
      </c>
      <c r="R82">
        <v>0</v>
      </c>
      <c r="S82">
        <v>0</v>
      </c>
      <c r="T82">
        <v>0</v>
      </c>
      <c r="U82">
        <v>0</v>
      </c>
      <c r="V82">
        <v>10</v>
      </c>
      <c r="W82">
        <v>0</v>
      </c>
      <c r="X82">
        <v>0</v>
      </c>
      <c r="Y82">
        <v>1</v>
      </c>
      <c r="Z82">
        <v>1</v>
      </c>
      <c r="AA82">
        <v>0</v>
      </c>
      <c r="AB82">
        <v>0</v>
      </c>
      <c r="AC82">
        <v>10</v>
      </c>
      <c r="AD82">
        <v>0</v>
      </c>
      <c r="AE82">
        <v>0</v>
      </c>
      <c r="AF82">
        <v>1</v>
      </c>
      <c r="AG82">
        <v>0</v>
      </c>
      <c r="AH82" s="15">
        <v>2</v>
      </c>
    </row>
    <row r="83" spans="1:34" x14ac:dyDescent="0.2">
      <c r="A83" t="s">
        <v>122</v>
      </c>
      <c r="B83" s="10">
        <v>51.815533000000002</v>
      </c>
      <c r="C83" s="10">
        <v>-1.2947500000000001</v>
      </c>
      <c r="D83" t="s">
        <v>137</v>
      </c>
      <c r="E83" t="s">
        <v>73</v>
      </c>
      <c r="F83">
        <v>6</v>
      </c>
      <c r="G83">
        <v>3</v>
      </c>
      <c r="H83">
        <f t="shared" si="3"/>
        <v>18</v>
      </c>
      <c r="I83">
        <f t="shared" si="5"/>
        <v>52</v>
      </c>
      <c r="J83">
        <f t="shared" si="4"/>
        <v>7</v>
      </c>
      <c r="K83">
        <v>350</v>
      </c>
      <c r="L83" t="s">
        <v>97</v>
      </c>
      <c r="M83" t="s">
        <v>89</v>
      </c>
      <c r="N83" t="s">
        <v>85</v>
      </c>
      <c r="O83" t="s">
        <v>121</v>
      </c>
      <c r="P83">
        <v>2</v>
      </c>
      <c r="Q83">
        <v>4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8</v>
      </c>
      <c r="AD83">
        <v>0</v>
      </c>
      <c r="AE83">
        <v>2</v>
      </c>
      <c r="AF83">
        <v>11</v>
      </c>
      <c r="AG83">
        <v>0</v>
      </c>
      <c r="AH83" s="15">
        <v>24</v>
      </c>
    </row>
    <row r="84" spans="1:34" x14ac:dyDescent="0.2">
      <c r="A84" t="s">
        <v>123</v>
      </c>
      <c r="B84" s="10">
        <v>51.815832999999998</v>
      </c>
      <c r="C84" s="10">
        <v>-1.29295</v>
      </c>
      <c r="D84" t="s">
        <v>137</v>
      </c>
      <c r="E84" t="s">
        <v>73</v>
      </c>
      <c r="F84">
        <v>6</v>
      </c>
      <c r="G84">
        <v>3</v>
      </c>
      <c r="H84">
        <f t="shared" si="3"/>
        <v>18</v>
      </c>
      <c r="I84">
        <f t="shared" si="5"/>
        <v>93</v>
      </c>
      <c r="J84">
        <f t="shared" si="4"/>
        <v>9</v>
      </c>
      <c r="K84">
        <v>161</v>
      </c>
      <c r="L84" t="s">
        <v>124</v>
      </c>
      <c r="M84" t="s">
        <v>76</v>
      </c>
      <c r="N84" t="s">
        <v>85</v>
      </c>
      <c r="O84" t="s">
        <v>121</v>
      </c>
      <c r="P84">
        <v>3</v>
      </c>
      <c r="Q84">
        <v>9</v>
      </c>
      <c r="R84">
        <v>0</v>
      </c>
      <c r="S84">
        <v>0</v>
      </c>
      <c r="T84">
        <v>0</v>
      </c>
      <c r="U84">
        <v>0</v>
      </c>
      <c r="V84">
        <v>6</v>
      </c>
      <c r="W84">
        <v>0</v>
      </c>
      <c r="X84">
        <v>0</v>
      </c>
      <c r="Y84">
        <v>2</v>
      </c>
      <c r="Z84">
        <v>0</v>
      </c>
      <c r="AA84">
        <v>0</v>
      </c>
      <c r="AB84">
        <v>1</v>
      </c>
      <c r="AC84">
        <v>9</v>
      </c>
      <c r="AD84">
        <v>0</v>
      </c>
      <c r="AE84">
        <v>0</v>
      </c>
      <c r="AF84">
        <v>2</v>
      </c>
      <c r="AG84">
        <v>2</v>
      </c>
      <c r="AH84" s="15">
        <v>59</v>
      </c>
    </row>
    <row r="85" spans="1:34" x14ac:dyDescent="0.2">
      <c r="A85" t="s">
        <v>125</v>
      </c>
      <c r="B85" s="10">
        <v>51.815133000000003</v>
      </c>
      <c r="C85" s="10">
        <v>-1.2927</v>
      </c>
      <c r="D85" t="s">
        <v>137</v>
      </c>
      <c r="E85" t="s">
        <v>79</v>
      </c>
      <c r="F85">
        <v>8</v>
      </c>
      <c r="G85">
        <v>3</v>
      </c>
      <c r="H85">
        <f t="shared" si="3"/>
        <v>24</v>
      </c>
      <c r="I85">
        <f t="shared" si="5"/>
        <v>48</v>
      </c>
      <c r="J85">
        <f t="shared" si="4"/>
        <v>8</v>
      </c>
      <c r="K85">
        <v>287</v>
      </c>
      <c r="L85" t="s">
        <v>92</v>
      </c>
      <c r="M85" t="s">
        <v>81</v>
      </c>
      <c r="N85" t="s">
        <v>89</v>
      </c>
      <c r="O85" t="s">
        <v>121</v>
      </c>
      <c r="P85">
        <v>1</v>
      </c>
      <c r="Q85">
        <v>17</v>
      </c>
      <c r="R85">
        <v>0</v>
      </c>
      <c r="S85">
        <v>0</v>
      </c>
      <c r="T85">
        <v>0</v>
      </c>
      <c r="U85">
        <v>0</v>
      </c>
      <c r="V85">
        <v>4</v>
      </c>
      <c r="W85">
        <v>0</v>
      </c>
      <c r="X85">
        <v>0</v>
      </c>
      <c r="Y85">
        <v>0</v>
      </c>
      <c r="Z85">
        <v>0</v>
      </c>
      <c r="AA85">
        <v>0</v>
      </c>
      <c r="AB85">
        <v>4</v>
      </c>
      <c r="AC85">
        <v>8</v>
      </c>
      <c r="AD85">
        <v>0</v>
      </c>
      <c r="AE85">
        <v>0</v>
      </c>
      <c r="AF85">
        <v>1</v>
      </c>
      <c r="AG85">
        <v>3</v>
      </c>
      <c r="AH85" s="15">
        <v>10</v>
      </c>
    </row>
    <row r="86" spans="1:34" x14ac:dyDescent="0.2">
      <c r="A86" t="s">
        <v>126</v>
      </c>
      <c r="B86" s="10">
        <v>51.815100000000001</v>
      </c>
      <c r="C86" s="10">
        <v>-1.2924329999999999</v>
      </c>
      <c r="D86" t="s">
        <v>137</v>
      </c>
      <c r="E86" t="s">
        <v>79</v>
      </c>
      <c r="F86">
        <v>8</v>
      </c>
      <c r="G86">
        <v>3</v>
      </c>
      <c r="H86">
        <f t="shared" si="3"/>
        <v>24</v>
      </c>
      <c r="I86">
        <f t="shared" si="5"/>
        <v>99</v>
      </c>
      <c r="J86">
        <f t="shared" si="4"/>
        <v>9</v>
      </c>
      <c r="K86">
        <v>117</v>
      </c>
      <c r="L86" t="s">
        <v>80</v>
      </c>
      <c r="M86" t="s">
        <v>81</v>
      </c>
      <c r="N86" t="s">
        <v>89</v>
      </c>
      <c r="O86" t="s">
        <v>113</v>
      </c>
      <c r="P86">
        <v>0</v>
      </c>
      <c r="Q86">
        <v>8</v>
      </c>
      <c r="R86">
        <v>0</v>
      </c>
      <c r="S86">
        <v>0</v>
      </c>
      <c r="T86">
        <v>0</v>
      </c>
      <c r="U86">
        <v>0</v>
      </c>
      <c r="V86">
        <v>19</v>
      </c>
      <c r="W86">
        <v>1</v>
      </c>
      <c r="X86">
        <v>0</v>
      </c>
      <c r="Y86">
        <v>15</v>
      </c>
      <c r="Z86">
        <v>1</v>
      </c>
      <c r="AA86">
        <v>0</v>
      </c>
      <c r="AB86">
        <v>0</v>
      </c>
      <c r="AC86">
        <v>21</v>
      </c>
      <c r="AD86">
        <v>0</v>
      </c>
      <c r="AE86">
        <v>9</v>
      </c>
      <c r="AF86">
        <v>5</v>
      </c>
      <c r="AG86">
        <v>0</v>
      </c>
      <c r="AH86" s="15">
        <v>20</v>
      </c>
    </row>
    <row r="87" spans="1:34" x14ac:dyDescent="0.2">
      <c r="A87" t="s">
        <v>127</v>
      </c>
      <c r="B87" s="10">
        <v>51.812600000000003</v>
      </c>
      <c r="C87" s="10">
        <v>-1.293833</v>
      </c>
      <c r="D87" t="s">
        <v>137</v>
      </c>
      <c r="E87" t="s">
        <v>79</v>
      </c>
      <c r="F87">
        <v>8</v>
      </c>
      <c r="G87">
        <v>3</v>
      </c>
      <c r="H87">
        <f t="shared" si="3"/>
        <v>24</v>
      </c>
      <c r="I87">
        <f t="shared" si="5"/>
        <v>75</v>
      </c>
      <c r="J87">
        <f t="shared" si="4"/>
        <v>10</v>
      </c>
      <c r="K87">
        <v>102</v>
      </c>
      <c r="L87" t="s">
        <v>88</v>
      </c>
      <c r="M87" t="s">
        <v>89</v>
      </c>
      <c r="N87" t="s">
        <v>75</v>
      </c>
      <c r="O87" t="s">
        <v>113</v>
      </c>
      <c r="P87">
        <v>1</v>
      </c>
      <c r="Q87">
        <v>10</v>
      </c>
      <c r="R87">
        <v>2</v>
      </c>
      <c r="S87">
        <v>0</v>
      </c>
      <c r="T87">
        <v>0</v>
      </c>
      <c r="U87">
        <v>0</v>
      </c>
      <c r="V87">
        <v>6</v>
      </c>
      <c r="W87">
        <v>0</v>
      </c>
      <c r="X87">
        <v>0</v>
      </c>
      <c r="Y87">
        <v>2</v>
      </c>
      <c r="Z87">
        <v>0</v>
      </c>
      <c r="AA87">
        <v>0</v>
      </c>
      <c r="AB87">
        <v>0</v>
      </c>
      <c r="AC87">
        <v>20</v>
      </c>
      <c r="AD87">
        <v>0</v>
      </c>
      <c r="AE87">
        <v>5</v>
      </c>
      <c r="AF87">
        <v>10</v>
      </c>
      <c r="AG87">
        <v>1</v>
      </c>
      <c r="AH87" s="15">
        <v>18</v>
      </c>
    </row>
    <row r="88" spans="1:34" x14ac:dyDescent="0.2">
      <c r="A88" t="s">
        <v>128</v>
      </c>
      <c r="B88" s="10">
        <v>51.809583000000003</v>
      </c>
      <c r="C88" s="10">
        <v>-1.2956669999999999</v>
      </c>
      <c r="D88" t="s">
        <v>137</v>
      </c>
      <c r="E88" t="s">
        <v>79</v>
      </c>
      <c r="F88">
        <v>8</v>
      </c>
      <c r="G88">
        <v>3</v>
      </c>
      <c r="H88">
        <f t="shared" si="3"/>
        <v>24</v>
      </c>
      <c r="I88">
        <f t="shared" si="5"/>
        <v>94</v>
      </c>
      <c r="J88">
        <f t="shared" si="4"/>
        <v>9</v>
      </c>
      <c r="K88">
        <v>98</v>
      </c>
      <c r="L88" t="s">
        <v>88</v>
      </c>
      <c r="M88" t="s">
        <v>75</v>
      </c>
      <c r="N88" t="s">
        <v>75</v>
      </c>
      <c r="O88" t="s">
        <v>113</v>
      </c>
      <c r="P88">
        <v>1</v>
      </c>
      <c r="Q88">
        <v>14</v>
      </c>
      <c r="R88">
        <v>0</v>
      </c>
      <c r="S88">
        <v>0</v>
      </c>
      <c r="T88">
        <v>0</v>
      </c>
      <c r="U88">
        <v>0</v>
      </c>
      <c r="V88">
        <v>8</v>
      </c>
      <c r="W88">
        <v>0</v>
      </c>
      <c r="X88">
        <v>0</v>
      </c>
      <c r="Y88">
        <v>5</v>
      </c>
      <c r="Z88">
        <v>0</v>
      </c>
      <c r="AA88">
        <v>0</v>
      </c>
      <c r="AB88">
        <v>0</v>
      </c>
      <c r="AC88">
        <v>13</v>
      </c>
      <c r="AD88">
        <v>0</v>
      </c>
      <c r="AE88">
        <v>4</v>
      </c>
      <c r="AF88">
        <v>16</v>
      </c>
      <c r="AG88">
        <v>1</v>
      </c>
      <c r="AH88" s="15">
        <v>32</v>
      </c>
    </row>
    <row r="89" spans="1:34" x14ac:dyDescent="0.2">
      <c r="A89" t="s">
        <v>129</v>
      </c>
      <c r="B89" s="10">
        <v>51.807749999999999</v>
      </c>
      <c r="C89" s="10">
        <v>-1.29295</v>
      </c>
      <c r="D89" t="s">
        <v>137</v>
      </c>
      <c r="E89" t="s">
        <v>79</v>
      </c>
      <c r="F89">
        <v>8</v>
      </c>
      <c r="G89">
        <v>2</v>
      </c>
      <c r="H89">
        <f t="shared" si="3"/>
        <v>16</v>
      </c>
      <c r="I89">
        <f t="shared" si="5"/>
        <v>72</v>
      </c>
      <c r="J89">
        <f t="shared" si="4"/>
        <v>10</v>
      </c>
      <c r="K89">
        <v>285</v>
      </c>
      <c r="L89" t="s">
        <v>92</v>
      </c>
      <c r="M89" t="s">
        <v>75</v>
      </c>
      <c r="N89" t="s">
        <v>89</v>
      </c>
      <c r="O89" t="s">
        <v>113</v>
      </c>
      <c r="P89">
        <v>3</v>
      </c>
      <c r="Q89">
        <v>3</v>
      </c>
      <c r="R89">
        <v>1</v>
      </c>
      <c r="S89">
        <v>0</v>
      </c>
      <c r="T89">
        <v>0</v>
      </c>
      <c r="U89">
        <v>0</v>
      </c>
      <c r="V89">
        <v>25</v>
      </c>
      <c r="W89">
        <v>0</v>
      </c>
      <c r="X89">
        <v>1</v>
      </c>
      <c r="Y89">
        <v>10</v>
      </c>
      <c r="Z89">
        <v>0</v>
      </c>
      <c r="AA89">
        <v>0</v>
      </c>
      <c r="AB89">
        <v>3</v>
      </c>
      <c r="AC89">
        <v>11</v>
      </c>
      <c r="AD89">
        <v>0</v>
      </c>
      <c r="AE89">
        <v>0</v>
      </c>
      <c r="AF89">
        <v>6</v>
      </c>
      <c r="AG89">
        <v>0</v>
      </c>
      <c r="AH89" s="15">
        <v>9</v>
      </c>
    </row>
    <row r="90" spans="1:34" x14ac:dyDescent="0.2">
      <c r="A90" t="s">
        <v>130</v>
      </c>
      <c r="B90" s="10">
        <v>51.808599999999998</v>
      </c>
      <c r="C90" s="10">
        <v>-1.288683</v>
      </c>
      <c r="D90" t="s">
        <v>137</v>
      </c>
      <c r="E90" t="s">
        <v>73</v>
      </c>
      <c r="F90">
        <v>6</v>
      </c>
      <c r="G90">
        <v>3</v>
      </c>
      <c r="H90">
        <f t="shared" si="3"/>
        <v>18</v>
      </c>
      <c r="I90">
        <f t="shared" si="5"/>
        <v>55</v>
      </c>
      <c r="J90">
        <f t="shared" si="4"/>
        <v>9</v>
      </c>
      <c r="K90">
        <v>274</v>
      </c>
      <c r="L90" t="s">
        <v>92</v>
      </c>
      <c r="M90" t="s">
        <v>76</v>
      </c>
      <c r="N90" t="s">
        <v>89</v>
      </c>
      <c r="O90" t="s">
        <v>113</v>
      </c>
      <c r="P90">
        <v>0</v>
      </c>
      <c r="Q90">
        <v>4</v>
      </c>
      <c r="R90">
        <v>5</v>
      </c>
      <c r="S90">
        <v>0</v>
      </c>
      <c r="T90">
        <v>0</v>
      </c>
      <c r="U90">
        <v>0</v>
      </c>
      <c r="V90">
        <v>20</v>
      </c>
      <c r="W90">
        <v>0</v>
      </c>
      <c r="X90">
        <v>1</v>
      </c>
      <c r="Y90">
        <v>3</v>
      </c>
      <c r="Z90">
        <v>0</v>
      </c>
      <c r="AA90">
        <v>0</v>
      </c>
      <c r="AB90">
        <v>1</v>
      </c>
      <c r="AC90">
        <v>4</v>
      </c>
      <c r="AD90">
        <v>0</v>
      </c>
      <c r="AE90">
        <v>0</v>
      </c>
      <c r="AF90">
        <v>0</v>
      </c>
      <c r="AG90">
        <v>1</v>
      </c>
      <c r="AH90" s="15">
        <v>16</v>
      </c>
    </row>
    <row r="91" spans="1:34" x14ac:dyDescent="0.2">
      <c r="A91" t="s">
        <v>131</v>
      </c>
      <c r="B91" s="10">
        <v>51.811216999999999</v>
      </c>
      <c r="C91" s="10">
        <v>-1.2882830000000001</v>
      </c>
      <c r="D91" t="s">
        <v>137</v>
      </c>
      <c r="E91" t="s">
        <v>73</v>
      </c>
      <c r="F91">
        <v>6</v>
      </c>
      <c r="G91">
        <v>3</v>
      </c>
      <c r="H91">
        <f t="shared" si="3"/>
        <v>18</v>
      </c>
      <c r="I91">
        <f t="shared" si="5"/>
        <v>53</v>
      </c>
      <c r="J91">
        <f t="shared" si="4"/>
        <v>6</v>
      </c>
      <c r="K91">
        <v>278</v>
      </c>
      <c r="L91" t="s">
        <v>92</v>
      </c>
      <c r="M91" t="s">
        <v>76</v>
      </c>
      <c r="N91" t="s">
        <v>75</v>
      </c>
      <c r="O91" t="s">
        <v>113</v>
      </c>
      <c r="P91">
        <v>0</v>
      </c>
      <c r="Q91">
        <v>10</v>
      </c>
      <c r="R91">
        <v>0</v>
      </c>
      <c r="S91">
        <v>0</v>
      </c>
      <c r="T91">
        <v>0</v>
      </c>
      <c r="U91">
        <v>0</v>
      </c>
      <c r="V91">
        <v>10</v>
      </c>
      <c r="W91">
        <v>0</v>
      </c>
      <c r="X91">
        <v>0</v>
      </c>
      <c r="Y91">
        <v>5</v>
      </c>
      <c r="Z91">
        <v>0</v>
      </c>
      <c r="AA91">
        <v>0</v>
      </c>
      <c r="AB91">
        <v>0</v>
      </c>
      <c r="AC91">
        <v>8</v>
      </c>
      <c r="AD91">
        <v>0</v>
      </c>
      <c r="AE91">
        <v>0</v>
      </c>
      <c r="AF91">
        <v>15</v>
      </c>
      <c r="AG91">
        <v>0</v>
      </c>
      <c r="AH91" s="1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7352-E3CF-344D-8078-7B26CD075630}">
  <dimension ref="A1:DK91"/>
  <sheetViews>
    <sheetView zoomScale="94" zoomScaleNormal="42" workbookViewId="0">
      <selection activeCell="BC1" sqref="BC1"/>
    </sheetView>
  </sheetViews>
  <sheetFormatPr baseColWidth="10" defaultRowHeight="16" x14ac:dyDescent="0.2"/>
  <cols>
    <col min="4" max="4" width="5.33203125" bestFit="1" customWidth="1"/>
  </cols>
  <sheetData>
    <row r="1" spans="1:115" ht="91" x14ac:dyDescent="0.2">
      <c r="A1" s="14" t="s">
        <v>0</v>
      </c>
      <c r="B1" s="2" t="s">
        <v>1</v>
      </c>
      <c r="C1" s="2" t="s">
        <v>2</v>
      </c>
      <c r="D1" s="1" t="s">
        <v>134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8" t="s">
        <v>233</v>
      </c>
      <c r="Q1" s="18" t="s">
        <v>234</v>
      </c>
      <c r="R1" s="18" t="s">
        <v>57</v>
      </c>
      <c r="S1" s="18" t="s">
        <v>235</v>
      </c>
      <c r="T1" s="18" t="s">
        <v>236</v>
      </c>
      <c r="U1" s="18" t="s">
        <v>237</v>
      </c>
      <c r="V1" s="18" t="s">
        <v>238</v>
      </c>
      <c r="W1" s="18" t="s">
        <v>239</v>
      </c>
      <c r="X1" s="18" t="s">
        <v>241</v>
      </c>
      <c r="Y1" s="18" t="s">
        <v>242</v>
      </c>
      <c r="Z1" s="18" t="s">
        <v>67</v>
      </c>
      <c r="AA1" s="18" t="s">
        <v>243</v>
      </c>
      <c r="AB1" s="18" t="s">
        <v>71</v>
      </c>
      <c r="AC1" s="3" t="s">
        <v>16</v>
      </c>
      <c r="AD1" s="3" t="s">
        <v>244</v>
      </c>
      <c r="AE1" s="3" t="s">
        <v>245</v>
      </c>
      <c r="AF1" s="3" t="s">
        <v>246</v>
      </c>
      <c r="AG1" s="3" t="s">
        <v>247</v>
      </c>
      <c r="AH1" s="3" t="s">
        <v>248</v>
      </c>
      <c r="AI1" s="3" t="s">
        <v>240</v>
      </c>
      <c r="AJ1" s="3" t="s">
        <v>249</v>
      </c>
      <c r="AK1" s="3" t="s">
        <v>250</v>
      </c>
      <c r="AL1" s="3" t="s">
        <v>251</v>
      </c>
      <c r="AM1" s="5" t="s">
        <v>252</v>
      </c>
      <c r="AN1" s="5" t="s">
        <v>41</v>
      </c>
      <c r="AO1" s="5" t="s">
        <v>253</v>
      </c>
      <c r="AP1" s="5" t="s">
        <v>254</v>
      </c>
      <c r="AQ1" s="6" t="s">
        <v>45</v>
      </c>
      <c r="AR1" s="6" t="s">
        <v>174</v>
      </c>
      <c r="AS1" s="6" t="s">
        <v>255</v>
      </c>
      <c r="AT1" s="6" t="s">
        <v>48</v>
      </c>
      <c r="AU1" s="6" t="s">
        <v>256</v>
      </c>
      <c r="AV1" s="6" t="s">
        <v>50</v>
      </c>
      <c r="AW1" s="6" t="s">
        <v>257</v>
      </c>
      <c r="AX1" s="6" t="s">
        <v>52</v>
      </c>
      <c r="AY1" s="6" t="s">
        <v>53</v>
      </c>
      <c r="AZ1" s="6" t="s">
        <v>258</v>
      </c>
      <c r="BA1" s="1" t="s">
        <v>259</v>
      </c>
      <c r="BB1" s="1" t="s">
        <v>260</v>
      </c>
      <c r="BC1" s="1" t="s">
        <v>261</v>
      </c>
      <c r="BD1" s="16"/>
      <c r="BE1" s="16"/>
      <c r="BF1" s="16"/>
      <c r="BG1" s="16"/>
      <c r="BH1" s="16"/>
      <c r="BI1" s="16"/>
      <c r="BJ1" s="16"/>
      <c r="BK1" s="16"/>
      <c r="BL1" s="16"/>
      <c r="BM1" s="24"/>
      <c r="BN1" s="24"/>
      <c r="BO1" s="24"/>
      <c r="BP1" s="24"/>
      <c r="BQ1" s="24"/>
      <c r="BR1" s="24"/>
      <c r="BS1" s="24"/>
      <c r="BT1" s="24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</row>
    <row r="2" spans="1:115" x14ac:dyDescent="0.2">
      <c r="A2" s="15" t="s">
        <v>72</v>
      </c>
      <c r="B2" s="10">
        <v>51.822099999999999</v>
      </c>
      <c r="C2" s="10">
        <v>-1.2992330000000001</v>
      </c>
      <c r="D2" t="s">
        <v>135</v>
      </c>
      <c r="E2" s="15" t="s">
        <v>73</v>
      </c>
      <c r="F2" s="15">
        <v>6</v>
      </c>
      <c r="G2" s="15">
        <v>3</v>
      </c>
      <c r="H2" s="15">
        <v>18</v>
      </c>
      <c r="I2" s="15">
        <f>SUM(P2:BC2)</f>
        <v>38</v>
      </c>
      <c r="J2" s="15">
        <f>COUNTIF(P2:BC2,"&gt;0")</f>
        <v>8</v>
      </c>
      <c r="K2" s="20">
        <v>225</v>
      </c>
      <c r="L2" s="15" t="s">
        <v>74</v>
      </c>
      <c r="M2" s="15" t="s">
        <v>75</v>
      </c>
      <c r="N2" s="15" t="s">
        <v>76</v>
      </c>
      <c r="O2" s="15" t="s">
        <v>77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14</v>
      </c>
      <c r="AA2" s="15">
        <v>0</v>
      </c>
      <c r="AB2" s="15">
        <v>13</v>
      </c>
      <c r="AC2">
        <v>4</v>
      </c>
      <c r="AD2">
        <v>0</v>
      </c>
      <c r="AE2">
        <v>0</v>
      </c>
      <c r="AF2">
        <v>1</v>
      </c>
      <c r="AG2">
        <v>0</v>
      </c>
      <c r="AH2">
        <v>0</v>
      </c>
      <c r="AI2">
        <v>3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</row>
    <row r="3" spans="1:115" x14ac:dyDescent="0.2">
      <c r="A3" s="15" t="s">
        <v>78</v>
      </c>
      <c r="B3" s="10">
        <v>51.822516999999998</v>
      </c>
      <c r="C3" s="10">
        <v>-1.3022499999999999</v>
      </c>
      <c r="D3" t="s">
        <v>135</v>
      </c>
      <c r="E3" s="15" t="s">
        <v>79</v>
      </c>
      <c r="F3" s="15">
        <v>8</v>
      </c>
      <c r="G3" s="15">
        <v>3</v>
      </c>
      <c r="H3" s="15">
        <v>24</v>
      </c>
      <c r="I3" s="15">
        <f>SUM(P3:BC3)</f>
        <v>34</v>
      </c>
      <c r="J3" s="15">
        <f>COUNTIF(P3:BC3,"&gt;0")</f>
        <v>8</v>
      </c>
      <c r="K3" s="15">
        <v>150</v>
      </c>
      <c r="L3" s="15" t="s">
        <v>80</v>
      </c>
      <c r="M3" s="15" t="s">
        <v>81</v>
      </c>
      <c r="N3" s="15" t="s">
        <v>75</v>
      </c>
      <c r="O3" s="15" t="s">
        <v>77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10</v>
      </c>
      <c r="AA3" s="15">
        <v>0</v>
      </c>
      <c r="AB3" s="15">
        <v>16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2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</v>
      </c>
      <c r="AZ3">
        <v>1</v>
      </c>
      <c r="BA3">
        <v>0</v>
      </c>
      <c r="BB3">
        <v>0</v>
      </c>
      <c r="BC3">
        <v>0</v>
      </c>
      <c r="BM3" s="19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</row>
    <row r="4" spans="1:115" x14ac:dyDescent="0.2">
      <c r="A4" s="15" t="s">
        <v>82</v>
      </c>
      <c r="B4" s="10">
        <v>51.823616999999999</v>
      </c>
      <c r="C4" s="10">
        <v>-1.3056000000000001</v>
      </c>
      <c r="D4" t="s">
        <v>135</v>
      </c>
      <c r="E4" s="15" t="s">
        <v>73</v>
      </c>
      <c r="F4" s="15">
        <v>6</v>
      </c>
      <c r="G4" s="15">
        <v>3</v>
      </c>
      <c r="H4" s="15">
        <v>18</v>
      </c>
      <c r="I4" s="15">
        <f>SUM(P4:BC4)</f>
        <v>41</v>
      </c>
      <c r="J4" s="15">
        <f>COUNTIF(P4:BC4,"&gt;0")</f>
        <v>6</v>
      </c>
      <c r="K4" s="15">
        <v>179</v>
      </c>
      <c r="L4" s="15" t="s">
        <v>83</v>
      </c>
      <c r="M4" s="15" t="s">
        <v>84</v>
      </c>
      <c r="N4" s="15" t="s">
        <v>85</v>
      </c>
      <c r="O4" s="15" t="s">
        <v>86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1</v>
      </c>
      <c r="X4" s="15">
        <v>0</v>
      </c>
      <c r="Y4" s="15">
        <v>0</v>
      </c>
      <c r="Z4" s="15">
        <v>9</v>
      </c>
      <c r="AA4" s="15">
        <v>0</v>
      </c>
      <c r="AB4" s="15">
        <v>15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M4" s="19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</row>
    <row r="5" spans="1:115" x14ac:dyDescent="0.2">
      <c r="A5" s="15" t="s">
        <v>87</v>
      </c>
      <c r="B5" s="10">
        <v>51.822032999999998</v>
      </c>
      <c r="C5" s="10">
        <v>-1.30945</v>
      </c>
      <c r="D5" t="s">
        <v>135</v>
      </c>
      <c r="E5" s="15" t="s">
        <v>73</v>
      </c>
      <c r="F5" s="15">
        <v>6</v>
      </c>
      <c r="G5" s="15">
        <v>3</v>
      </c>
      <c r="H5" s="15">
        <v>18</v>
      </c>
      <c r="I5" s="15">
        <f>SUM(P5:BC5)</f>
        <v>34</v>
      </c>
      <c r="J5" s="15">
        <f>COUNTIF(P5:BC5,"&gt;0")</f>
        <v>8</v>
      </c>
      <c r="K5" s="15">
        <v>88</v>
      </c>
      <c r="L5" s="15" t="s">
        <v>88</v>
      </c>
      <c r="M5" s="15" t="s">
        <v>81</v>
      </c>
      <c r="N5" s="15" t="s">
        <v>89</v>
      </c>
      <c r="O5" s="15" t="s">
        <v>86</v>
      </c>
      <c r="P5" s="15">
        <v>0</v>
      </c>
      <c r="Q5" s="15">
        <v>1</v>
      </c>
      <c r="R5" s="15">
        <v>0</v>
      </c>
      <c r="S5" s="15">
        <v>8</v>
      </c>
      <c r="T5" s="15">
        <v>0</v>
      </c>
      <c r="U5" s="15">
        <v>0</v>
      </c>
      <c r="V5" s="15">
        <v>0</v>
      </c>
      <c r="W5" s="15">
        <v>10</v>
      </c>
      <c r="X5" s="15">
        <v>0</v>
      </c>
      <c r="Y5" s="15">
        <v>0</v>
      </c>
      <c r="Z5" s="15">
        <v>2</v>
      </c>
      <c r="AA5" s="15">
        <v>0</v>
      </c>
      <c r="AB5" s="1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6</v>
      </c>
      <c r="AZ5">
        <v>4</v>
      </c>
      <c r="BA5">
        <v>0</v>
      </c>
      <c r="BB5">
        <v>1</v>
      </c>
      <c r="BC5">
        <v>0</v>
      </c>
      <c r="BM5" s="19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</row>
    <row r="6" spans="1:115" x14ac:dyDescent="0.2">
      <c r="A6" s="15" t="s">
        <v>90</v>
      </c>
      <c r="B6" s="10">
        <v>51.820900000000002</v>
      </c>
      <c r="C6" s="10">
        <v>-1.3093669999999999</v>
      </c>
      <c r="D6" t="s">
        <v>135</v>
      </c>
      <c r="E6" s="15" t="s">
        <v>91</v>
      </c>
      <c r="F6" s="15">
        <v>2</v>
      </c>
      <c r="G6" s="15">
        <v>2</v>
      </c>
      <c r="H6" s="15">
        <v>4</v>
      </c>
      <c r="I6" s="15">
        <f>SUM(P6:BC6)</f>
        <v>91</v>
      </c>
      <c r="J6" s="15">
        <f>COUNTIF(P6:BC6,"&gt;0")</f>
        <v>9</v>
      </c>
      <c r="K6" s="15">
        <v>255</v>
      </c>
      <c r="L6" s="15" t="s">
        <v>92</v>
      </c>
      <c r="M6" s="15" t="s">
        <v>85</v>
      </c>
      <c r="N6" s="15" t="s">
        <v>84</v>
      </c>
      <c r="O6" s="15" t="s">
        <v>86</v>
      </c>
      <c r="P6" s="15">
        <v>0</v>
      </c>
      <c r="Q6" s="15">
        <v>1</v>
      </c>
      <c r="R6" s="15">
        <v>0</v>
      </c>
      <c r="S6" s="15">
        <v>0</v>
      </c>
      <c r="T6" s="15">
        <v>0</v>
      </c>
      <c r="U6" s="15">
        <v>1</v>
      </c>
      <c r="V6" s="15">
        <v>0</v>
      </c>
      <c r="W6" s="15">
        <v>0</v>
      </c>
      <c r="X6" s="15">
        <v>0</v>
      </c>
      <c r="Y6" s="15">
        <v>0</v>
      </c>
      <c r="Z6" s="15">
        <v>6</v>
      </c>
      <c r="AA6" s="15">
        <v>0</v>
      </c>
      <c r="AB6" s="15">
        <v>21</v>
      </c>
      <c r="AC6">
        <v>51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</v>
      </c>
      <c r="AP6">
        <v>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</v>
      </c>
      <c r="BA6">
        <v>0</v>
      </c>
      <c r="BB6">
        <v>0</v>
      </c>
      <c r="BC6">
        <v>0</v>
      </c>
      <c r="BM6" s="19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</row>
    <row r="7" spans="1:115" x14ac:dyDescent="0.2">
      <c r="A7" s="15" t="s">
        <v>93</v>
      </c>
      <c r="B7" s="10">
        <v>51.818367000000002</v>
      </c>
      <c r="C7" s="10">
        <v>-1.3125830000000001</v>
      </c>
      <c r="D7" t="s">
        <v>135</v>
      </c>
      <c r="E7" s="15" t="s">
        <v>73</v>
      </c>
      <c r="F7" s="15">
        <v>6</v>
      </c>
      <c r="G7" s="15">
        <v>2</v>
      </c>
      <c r="H7" s="15">
        <v>12</v>
      </c>
      <c r="I7" s="15">
        <f>SUM(P7:BC7)</f>
        <v>41</v>
      </c>
      <c r="J7" s="15">
        <f>COUNTIF(P7:BC7,"&gt;0")</f>
        <v>5</v>
      </c>
      <c r="K7" s="15">
        <v>255</v>
      </c>
      <c r="L7" s="15" t="s">
        <v>92</v>
      </c>
      <c r="M7" s="15" t="s">
        <v>75</v>
      </c>
      <c r="N7" s="15" t="s">
        <v>85</v>
      </c>
      <c r="O7" s="15" t="s">
        <v>94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11</v>
      </c>
      <c r="AA7" s="15">
        <v>0</v>
      </c>
      <c r="AB7" s="15">
        <v>25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</v>
      </c>
      <c r="BA7">
        <v>1</v>
      </c>
      <c r="BB7">
        <v>0</v>
      </c>
      <c r="BC7">
        <v>0</v>
      </c>
      <c r="BM7" s="19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</row>
    <row r="8" spans="1:115" x14ac:dyDescent="0.2">
      <c r="A8" s="15" t="s">
        <v>95</v>
      </c>
      <c r="B8" s="10">
        <v>51.817667</v>
      </c>
      <c r="C8" s="10">
        <v>-1.314683</v>
      </c>
      <c r="D8" t="s">
        <v>135</v>
      </c>
      <c r="E8" s="15" t="s">
        <v>96</v>
      </c>
      <c r="F8" s="15">
        <v>4</v>
      </c>
      <c r="G8" s="15">
        <v>3</v>
      </c>
      <c r="H8" s="15">
        <v>12</v>
      </c>
      <c r="I8" s="15">
        <f>SUM(P8:BC8)</f>
        <v>12</v>
      </c>
      <c r="J8" s="15">
        <f>COUNTIF(P8:BC8,"&gt;0")</f>
        <v>3</v>
      </c>
      <c r="K8" s="15">
        <v>2</v>
      </c>
      <c r="L8" s="15" t="s">
        <v>97</v>
      </c>
      <c r="M8" s="15" t="s">
        <v>84</v>
      </c>
      <c r="N8" s="15" t="s">
        <v>84</v>
      </c>
      <c r="O8" s="15" t="s">
        <v>94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5</v>
      </c>
      <c r="AA8" s="15">
        <v>0</v>
      </c>
      <c r="AB8" s="15">
        <v>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M8" s="19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</row>
    <row r="9" spans="1:115" x14ac:dyDescent="0.2">
      <c r="A9" s="15" t="s">
        <v>98</v>
      </c>
      <c r="B9" s="10">
        <v>51.817332999999998</v>
      </c>
      <c r="C9" s="10">
        <v>-1.3145</v>
      </c>
      <c r="D9" t="s">
        <v>135</v>
      </c>
      <c r="E9" s="15" t="s">
        <v>73</v>
      </c>
      <c r="F9" s="15">
        <v>6</v>
      </c>
      <c r="G9" s="15">
        <v>3</v>
      </c>
      <c r="H9" s="15">
        <v>18</v>
      </c>
      <c r="I9" s="15">
        <f>SUM(P9:BC9)</f>
        <v>38</v>
      </c>
      <c r="J9" s="15">
        <f>COUNTIF(P9:BC9,"&gt;0")</f>
        <v>8</v>
      </c>
      <c r="K9" s="15">
        <v>171</v>
      </c>
      <c r="L9" s="15" t="s">
        <v>83</v>
      </c>
      <c r="M9" s="15" t="s">
        <v>81</v>
      </c>
      <c r="N9" s="15" t="s">
        <v>89</v>
      </c>
      <c r="O9" s="15" t="s">
        <v>99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1</v>
      </c>
      <c r="V9" s="15">
        <v>0</v>
      </c>
      <c r="W9" s="15">
        <v>0</v>
      </c>
      <c r="X9" s="15">
        <v>0</v>
      </c>
      <c r="Y9" s="15">
        <v>0</v>
      </c>
      <c r="Z9" s="15">
        <v>12</v>
      </c>
      <c r="AA9" s="15">
        <v>0</v>
      </c>
      <c r="AB9" s="15">
        <v>5</v>
      </c>
      <c r="AC9">
        <v>3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10</v>
      </c>
      <c r="AP9">
        <v>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</v>
      </c>
      <c r="BA9">
        <v>0</v>
      </c>
      <c r="BB9">
        <v>0</v>
      </c>
      <c r="BC9">
        <v>0</v>
      </c>
      <c r="BM9" s="19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</row>
    <row r="10" spans="1:115" x14ac:dyDescent="0.2">
      <c r="A10" s="15" t="s">
        <v>100</v>
      </c>
      <c r="B10" s="10">
        <v>51.816682999999998</v>
      </c>
      <c r="C10" s="10">
        <v>-1.31325</v>
      </c>
      <c r="D10" t="s">
        <v>135</v>
      </c>
      <c r="E10" s="15" t="s">
        <v>73</v>
      </c>
      <c r="F10" s="15">
        <v>6</v>
      </c>
      <c r="G10" s="15">
        <v>2</v>
      </c>
      <c r="H10" s="15">
        <v>12</v>
      </c>
      <c r="I10" s="15">
        <f>SUM(P10:BC10)</f>
        <v>54</v>
      </c>
      <c r="J10" s="15">
        <f>COUNTIF(P10:BC10,"&gt;0")</f>
        <v>9</v>
      </c>
      <c r="K10" s="15">
        <v>268</v>
      </c>
      <c r="L10" s="15" t="s">
        <v>92</v>
      </c>
      <c r="M10" s="15" t="s">
        <v>75</v>
      </c>
      <c r="N10" s="15" t="s">
        <v>89</v>
      </c>
      <c r="O10" s="15" t="s">
        <v>94</v>
      </c>
      <c r="P10" s="15">
        <v>0</v>
      </c>
      <c r="Q10" s="15">
        <v>0</v>
      </c>
      <c r="R10" s="15">
        <v>0</v>
      </c>
      <c r="S10" s="15">
        <v>2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10</v>
      </c>
      <c r="AA10" s="15">
        <v>0</v>
      </c>
      <c r="AB10" s="15">
        <v>19</v>
      </c>
      <c r="AC10">
        <v>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7</v>
      </c>
      <c r="AP10">
        <v>3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3</v>
      </c>
      <c r="BA10">
        <v>0</v>
      </c>
      <c r="BB10">
        <v>0</v>
      </c>
      <c r="BC10">
        <v>0</v>
      </c>
      <c r="BM10" s="19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</row>
    <row r="11" spans="1:115" x14ac:dyDescent="0.2">
      <c r="A11" s="15" t="s">
        <v>101</v>
      </c>
      <c r="B11" s="10">
        <v>51.815100000000001</v>
      </c>
      <c r="C11" s="10">
        <v>-1.313367</v>
      </c>
      <c r="D11" t="s">
        <v>135</v>
      </c>
      <c r="E11" s="15" t="s">
        <v>102</v>
      </c>
      <c r="F11" s="15">
        <v>1</v>
      </c>
      <c r="G11" s="15">
        <v>3</v>
      </c>
      <c r="H11" s="15">
        <v>3</v>
      </c>
      <c r="I11" s="15">
        <f>SUM(P11:BC11)</f>
        <v>4</v>
      </c>
      <c r="J11" s="15">
        <f>COUNTIF(P11:BC11,"&gt;0")</f>
        <v>2</v>
      </c>
      <c r="K11" s="15">
        <v>333</v>
      </c>
      <c r="L11" s="15" t="s">
        <v>103</v>
      </c>
      <c r="M11" s="15" t="s">
        <v>104</v>
      </c>
      <c r="N11" s="15" t="s">
        <v>84</v>
      </c>
      <c r="O11" s="15" t="s">
        <v>94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M11" s="19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</row>
    <row r="12" spans="1:115" x14ac:dyDescent="0.2">
      <c r="A12" s="15" t="s">
        <v>105</v>
      </c>
      <c r="B12" s="10">
        <v>51.817749999999997</v>
      </c>
      <c r="C12" s="10">
        <v>-1.310883</v>
      </c>
      <c r="D12" t="s">
        <v>135</v>
      </c>
      <c r="E12" s="15" t="s">
        <v>96</v>
      </c>
      <c r="F12" s="15">
        <v>4</v>
      </c>
      <c r="G12" s="15">
        <v>3</v>
      </c>
      <c r="H12" s="15">
        <v>12</v>
      </c>
      <c r="I12" s="15">
        <f>SUM(P12:BC12)</f>
        <v>32</v>
      </c>
      <c r="J12" s="15">
        <f>COUNTIF(P12:BC12,"&gt;0")</f>
        <v>7</v>
      </c>
      <c r="K12" s="15">
        <v>0</v>
      </c>
      <c r="L12" s="15" t="s">
        <v>97</v>
      </c>
      <c r="M12" s="15" t="s">
        <v>85</v>
      </c>
      <c r="N12" s="15" t="s">
        <v>84</v>
      </c>
      <c r="O12" s="15" t="s">
        <v>94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4</v>
      </c>
      <c r="AA12" s="15">
        <v>0</v>
      </c>
      <c r="AB12" s="15">
        <v>19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2</v>
      </c>
      <c r="AQ12">
        <v>0</v>
      </c>
      <c r="AR12">
        <v>0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0</v>
      </c>
      <c r="BM12" s="19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</row>
    <row r="13" spans="1:115" x14ac:dyDescent="0.2">
      <c r="A13" s="15" t="s">
        <v>106</v>
      </c>
      <c r="B13" s="10">
        <v>51.816133000000001</v>
      </c>
      <c r="C13" s="10">
        <v>-1.3091330000000001</v>
      </c>
      <c r="D13" t="s">
        <v>135</v>
      </c>
      <c r="E13" s="15" t="s">
        <v>96</v>
      </c>
      <c r="F13" s="15">
        <v>4</v>
      </c>
      <c r="G13" s="15">
        <v>3</v>
      </c>
      <c r="H13" s="15">
        <v>12</v>
      </c>
      <c r="I13" s="15">
        <f>SUM(P13:BC13)</f>
        <v>23</v>
      </c>
      <c r="J13" s="15">
        <f>COUNTIF(P13:BC13,"&gt;0")</f>
        <v>9</v>
      </c>
      <c r="K13" s="15">
        <v>358</v>
      </c>
      <c r="L13" s="15" t="s">
        <v>97</v>
      </c>
      <c r="M13" s="15" t="s">
        <v>85</v>
      </c>
      <c r="N13" s="15" t="s">
        <v>85</v>
      </c>
      <c r="O13" s="15" t="s">
        <v>94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2</v>
      </c>
      <c r="AA13" s="15">
        <v>2</v>
      </c>
      <c r="AB13" s="15">
        <v>9</v>
      </c>
      <c r="AC13">
        <v>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2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</v>
      </c>
      <c r="BA13">
        <v>0</v>
      </c>
      <c r="BB13">
        <v>1</v>
      </c>
      <c r="BC13">
        <v>0</v>
      </c>
      <c r="BM13" s="19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</row>
    <row r="14" spans="1:115" x14ac:dyDescent="0.2">
      <c r="A14" s="15" t="s">
        <v>107</v>
      </c>
      <c r="B14" s="10">
        <v>51.815100000000001</v>
      </c>
      <c r="C14" s="10">
        <v>-1.307833</v>
      </c>
      <c r="D14" t="s">
        <v>135</v>
      </c>
      <c r="E14" s="15" t="s">
        <v>96</v>
      </c>
      <c r="F14" s="15">
        <v>4</v>
      </c>
      <c r="G14" s="15">
        <v>3</v>
      </c>
      <c r="H14" s="15">
        <v>12</v>
      </c>
      <c r="I14" s="15">
        <f>SUM(P14:BC14)</f>
        <v>25</v>
      </c>
      <c r="J14" s="15">
        <f>COUNTIF(P14:BC14,"&gt;0")</f>
        <v>6</v>
      </c>
      <c r="K14" s="15">
        <v>4</v>
      </c>
      <c r="L14" s="15" t="s">
        <v>97</v>
      </c>
      <c r="M14" s="15" t="s">
        <v>84</v>
      </c>
      <c r="N14" s="15" t="s">
        <v>84</v>
      </c>
      <c r="O14" s="15" t="s">
        <v>108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3</v>
      </c>
      <c r="V14" s="15">
        <v>0</v>
      </c>
      <c r="W14" s="15">
        <v>0</v>
      </c>
      <c r="X14" s="15">
        <v>0</v>
      </c>
      <c r="Y14" s="15">
        <v>0</v>
      </c>
      <c r="Z14" s="15">
        <v>7</v>
      </c>
      <c r="AA14" s="15">
        <v>0</v>
      </c>
      <c r="AB14" s="15">
        <v>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</v>
      </c>
      <c r="BA14">
        <v>0</v>
      </c>
      <c r="BB14">
        <v>0</v>
      </c>
      <c r="BC14">
        <v>0</v>
      </c>
      <c r="BM14" s="19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</row>
    <row r="15" spans="1:115" x14ac:dyDescent="0.2">
      <c r="A15" s="15" t="s">
        <v>109</v>
      </c>
      <c r="B15" s="10">
        <v>51.816766999999999</v>
      </c>
      <c r="C15" s="10">
        <v>-1.3060499999999999</v>
      </c>
      <c r="D15" t="s">
        <v>135</v>
      </c>
      <c r="E15" s="15" t="s">
        <v>110</v>
      </c>
      <c r="F15" s="15">
        <v>2</v>
      </c>
      <c r="G15" s="15">
        <v>2</v>
      </c>
      <c r="H15" s="15">
        <v>4</v>
      </c>
      <c r="I15" s="15">
        <f>SUM(P15:BC15)</f>
        <v>8</v>
      </c>
      <c r="J15" s="15">
        <f>COUNTIF(P15:BC15,"&gt;0")</f>
        <v>3</v>
      </c>
      <c r="K15" s="15">
        <v>268</v>
      </c>
      <c r="L15" s="15" t="s">
        <v>92</v>
      </c>
      <c r="M15" s="15" t="s">
        <v>104</v>
      </c>
      <c r="N15" s="15" t="s">
        <v>104</v>
      </c>
      <c r="O15" s="15" t="s">
        <v>99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2</v>
      </c>
      <c r="AA15" s="15">
        <v>0</v>
      </c>
      <c r="AB15" s="15">
        <v>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M15" s="19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</row>
    <row r="16" spans="1:115" x14ac:dyDescent="0.2">
      <c r="A16" s="15" t="s">
        <v>111</v>
      </c>
      <c r="B16" s="10">
        <v>51.816682999999998</v>
      </c>
      <c r="C16" s="10">
        <v>-1.305917</v>
      </c>
      <c r="D16" t="s">
        <v>135</v>
      </c>
      <c r="E16" s="15" t="s">
        <v>110</v>
      </c>
      <c r="F16" s="15">
        <v>2</v>
      </c>
      <c r="G16" s="15">
        <v>2</v>
      </c>
      <c r="H16" s="15">
        <v>4</v>
      </c>
      <c r="I16" s="15">
        <f>SUM(P16:BC16)</f>
        <v>25</v>
      </c>
      <c r="J16" s="15">
        <f>COUNTIF(P16:BC16,"&gt;0")</f>
        <v>8</v>
      </c>
      <c r="K16" s="15">
        <v>84</v>
      </c>
      <c r="L16" s="15" t="s">
        <v>88</v>
      </c>
      <c r="M16" s="15" t="s">
        <v>104</v>
      </c>
      <c r="N16" s="15" t="s">
        <v>104</v>
      </c>
      <c r="O16" s="15" t="s">
        <v>99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3</v>
      </c>
      <c r="V16" s="15">
        <v>0</v>
      </c>
      <c r="W16" s="15">
        <v>3</v>
      </c>
      <c r="X16" s="15">
        <v>0</v>
      </c>
      <c r="Y16" s="15">
        <v>0</v>
      </c>
      <c r="Z16" s="15">
        <v>6</v>
      </c>
      <c r="AA16" s="15">
        <v>0</v>
      </c>
      <c r="AB16" s="15">
        <v>4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</v>
      </c>
      <c r="BA16">
        <v>0</v>
      </c>
      <c r="BB16">
        <v>0</v>
      </c>
      <c r="BC16">
        <v>0</v>
      </c>
      <c r="BM16" s="19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</row>
    <row r="17" spans="1:115" x14ac:dyDescent="0.2">
      <c r="A17" s="15" t="s">
        <v>112</v>
      </c>
      <c r="B17" s="10">
        <v>51.815632999999998</v>
      </c>
      <c r="C17" s="10">
        <v>-1.2991999999999999</v>
      </c>
      <c r="D17" t="s">
        <v>135</v>
      </c>
      <c r="E17" s="15" t="s">
        <v>96</v>
      </c>
      <c r="F17" s="15">
        <v>4</v>
      </c>
      <c r="G17" s="15">
        <v>3</v>
      </c>
      <c r="H17" s="15">
        <v>12</v>
      </c>
      <c r="I17" s="15">
        <f>SUM(P17:BC17)</f>
        <v>44</v>
      </c>
      <c r="J17" s="15">
        <f>COUNTIF(P17:BC17,"&gt;0")</f>
        <v>7</v>
      </c>
      <c r="K17" s="15">
        <v>179</v>
      </c>
      <c r="L17" s="15" t="s">
        <v>83</v>
      </c>
      <c r="M17" s="15" t="s">
        <v>84</v>
      </c>
      <c r="N17" s="15" t="s">
        <v>85</v>
      </c>
      <c r="O17" s="15" t="s">
        <v>113</v>
      </c>
      <c r="P17" s="15">
        <v>0</v>
      </c>
      <c r="Q17" s="15">
        <v>0</v>
      </c>
      <c r="R17" s="15">
        <v>0</v>
      </c>
      <c r="S17" s="15">
        <v>3</v>
      </c>
      <c r="T17" s="15">
        <v>0</v>
      </c>
      <c r="U17" s="15">
        <v>0</v>
      </c>
      <c r="V17" s="15">
        <v>0</v>
      </c>
      <c r="W17" s="15">
        <v>1</v>
      </c>
      <c r="X17" s="15">
        <v>0</v>
      </c>
      <c r="Y17" s="15">
        <v>0</v>
      </c>
      <c r="Z17" s="15">
        <v>33</v>
      </c>
      <c r="AA17" s="15">
        <v>0</v>
      </c>
      <c r="AB17" s="15">
        <v>1</v>
      </c>
      <c r="AC17">
        <v>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M17" s="19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</row>
    <row r="18" spans="1:115" x14ac:dyDescent="0.2">
      <c r="A18" s="15" t="s">
        <v>114</v>
      </c>
      <c r="B18" s="10">
        <v>51.815617000000003</v>
      </c>
      <c r="C18" s="10">
        <v>-1.3024169999999999</v>
      </c>
      <c r="D18" t="s">
        <v>135</v>
      </c>
      <c r="E18" s="15" t="s">
        <v>73</v>
      </c>
      <c r="F18" s="15">
        <v>6</v>
      </c>
      <c r="G18" s="15">
        <v>3</v>
      </c>
      <c r="H18" s="15">
        <v>18</v>
      </c>
      <c r="I18" s="15">
        <f>SUM(P18:BC18)</f>
        <v>37</v>
      </c>
      <c r="J18" s="15">
        <f>COUNTIF(P18:BC18,"&gt;0")</f>
        <v>7</v>
      </c>
      <c r="K18" s="15">
        <v>182</v>
      </c>
      <c r="L18" s="15" t="s">
        <v>83</v>
      </c>
      <c r="M18" s="15" t="s">
        <v>85</v>
      </c>
      <c r="N18" s="15" t="s">
        <v>85</v>
      </c>
      <c r="O18" s="15" t="s">
        <v>115</v>
      </c>
      <c r="P18" s="15">
        <v>0</v>
      </c>
      <c r="Q18" s="15">
        <v>0</v>
      </c>
      <c r="R18" s="15">
        <v>0</v>
      </c>
      <c r="S18" s="15">
        <v>0</v>
      </c>
      <c r="T18" s="15">
        <v>2</v>
      </c>
      <c r="U18" s="15">
        <v>0</v>
      </c>
      <c r="V18" s="15">
        <v>5</v>
      </c>
      <c r="W18" s="15">
        <v>3</v>
      </c>
      <c r="X18" s="15">
        <v>0</v>
      </c>
      <c r="Y18" s="15">
        <v>0</v>
      </c>
      <c r="Z18" s="15">
        <v>19</v>
      </c>
      <c r="AA18" s="15">
        <v>0</v>
      </c>
      <c r="AB18" s="15">
        <v>5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M18" s="19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</row>
    <row r="19" spans="1:115" x14ac:dyDescent="0.2">
      <c r="A19" s="15" t="s">
        <v>116</v>
      </c>
      <c r="B19" s="10">
        <v>51.813732999999999</v>
      </c>
      <c r="C19" s="10">
        <v>-1.3007169999999999</v>
      </c>
      <c r="D19" t="s">
        <v>135</v>
      </c>
      <c r="E19" s="15" t="s">
        <v>96</v>
      </c>
      <c r="F19" s="15">
        <v>4</v>
      </c>
      <c r="G19" s="15">
        <v>2</v>
      </c>
      <c r="H19" s="15">
        <v>8</v>
      </c>
      <c r="I19" s="15">
        <f>SUM(P19:BC19)</f>
        <v>96</v>
      </c>
      <c r="J19" s="15">
        <f>COUNTIF(P19:BC19,"&gt;0")</f>
        <v>9</v>
      </c>
      <c r="K19" s="15">
        <v>165</v>
      </c>
      <c r="L19" s="15" t="s">
        <v>83</v>
      </c>
      <c r="M19" s="15" t="s">
        <v>76</v>
      </c>
      <c r="N19" s="15" t="s">
        <v>84</v>
      </c>
      <c r="O19" s="15" t="s">
        <v>86</v>
      </c>
      <c r="P19" s="15">
        <v>0</v>
      </c>
      <c r="Q19" s="15">
        <v>0</v>
      </c>
      <c r="R19" s="15">
        <v>0</v>
      </c>
      <c r="S19" s="15">
        <v>3</v>
      </c>
      <c r="T19" s="15">
        <v>0</v>
      </c>
      <c r="U19" s="15">
        <v>0</v>
      </c>
      <c r="V19" s="15">
        <v>4</v>
      </c>
      <c r="W19" s="15">
        <v>3</v>
      </c>
      <c r="X19" s="15">
        <v>0</v>
      </c>
      <c r="Y19" s="15">
        <v>0</v>
      </c>
      <c r="Z19" s="15">
        <v>1</v>
      </c>
      <c r="AA19" s="15">
        <v>0</v>
      </c>
      <c r="AB19" s="15">
        <v>28</v>
      </c>
      <c r="AC19">
        <v>49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6</v>
      </c>
      <c r="BB19">
        <v>0</v>
      </c>
      <c r="BC19">
        <v>0</v>
      </c>
      <c r="BM19" s="19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</row>
    <row r="20" spans="1:115" x14ac:dyDescent="0.2">
      <c r="A20" s="15" t="s">
        <v>117</v>
      </c>
      <c r="B20" s="10">
        <v>51.810867000000002</v>
      </c>
      <c r="C20" s="10">
        <v>-1.3022</v>
      </c>
      <c r="D20" t="s">
        <v>135</v>
      </c>
      <c r="E20" s="15" t="s">
        <v>79</v>
      </c>
      <c r="F20" s="15">
        <v>8</v>
      </c>
      <c r="G20" s="15">
        <v>3</v>
      </c>
      <c r="H20" s="15">
        <v>24</v>
      </c>
      <c r="I20" s="15">
        <f>SUM(P20:BC20)</f>
        <v>26</v>
      </c>
      <c r="J20" s="15">
        <f>COUNTIF(P20:BC20,"&gt;0")</f>
        <v>8</v>
      </c>
      <c r="K20" s="15">
        <v>314</v>
      </c>
      <c r="L20" s="15" t="s">
        <v>103</v>
      </c>
      <c r="M20" s="15" t="s">
        <v>118</v>
      </c>
      <c r="N20" s="15" t="s">
        <v>75</v>
      </c>
      <c r="O20" s="15" t="s">
        <v>86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3</v>
      </c>
      <c r="X20" s="15">
        <v>0</v>
      </c>
      <c r="Y20" s="15">
        <v>0</v>
      </c>
      <c r="Z20" s="15">
        <v>6</v>
      </c>
      <c r="AA20" s="15">
        <v>0</v>
      </c>
      <c r="AB20" s="15">
        <v>6</v>
      </c>
      <c r="AC20">
        <v>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4</v>
      </c>
      <c r="BA20">
        <v>0</v>
      </c>
      <c r="BB20">
        <v>0</v>
      </c>
      <c r="BC20">
        <v>1</v>
      </c>
      <c r="BM20" s="19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</row>
    <row r="21" spans="1:115" x14ac:dyDescent="0.2">
      <c r="A21" s="15" t="s">
        <v>119</v>
      </c>
      <c r="B21" s="10">
        <v>51.818550000000002</v>
      </c>
      <c r="C21" s="10">
        <v>-1.2959670000000001</v>
      </c>
      <c r="D21" t="s">
        <v>135</v>
      </c>
      <c r="E21" s="15" t="s">
        <v>79</v>
      </c>
      <c r="F21" s="15">
        <v>8</v>
      </c>
      <c r="G21" s="15">
        <v>3</v>
      </c>
      <c r="H21" s="15">
        <v>24</v>
      </c>
      <c r="I21" s="15">
        <f>SUM(P21:BC21)</f>
        <v>26</v>
      </c>
      <c r="J21" s="15">
        <f>COUNTIF(P21:BC21,"&gt;0")</f>
        <v>7</v>
      </c>
      <c r="K21" s="15">
        <v>211</v>
      </c>
      <c r="L21" s="15" t="s">
        <v>74</v>
      </c>
      <c r="M21" s="15" t="s">
        <v>118</v>
      </c>
      <c r="N21" s="15" t="s">
        <v>89</v>
      </c>
      <c r="O21" s="15" t="s">
        <v>115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6</v>
      </c>
      <c r="AA21" s="15">
        <v>0</v>
      </c>
      <c r="AB21" s="15">
        <v>10</v>
      </c>
      <c r="AC21">
        <v>4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3</v>
      </c>
      <c r="BM21" s="19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</row>
    <row r="22" spans="1:115" x14ac:dyDescent="0.2">
      <c r="A22" s="15" t="s">
        <v>120</v>
      </c>
      <c r="B22" s="10">
        <v>51.816716999999997</v>
      </c>
      <c r="C22" s="10">
        <v>-1.293917</v>
      </c>
      <c r="D22" t="s">
        <v>135</v>
      </c>
      <c r="E22" s="15" t="s">
        <v>79</v>
      </c>
      <c r="F22" s="15">
        <v>8</v>
      </c>
      <c r="G22" s="15">
        <v>2</v>
      </c>
      <c r="H22" s="15">
        <v>16</v>
      </c>
      <c r="I22" s="15">
        <f>SUM(P22:BC22)</f>
        <v>14</v>
      </c>
      <c r="J22" s="15">
        <f>COUNTIF(P22:BC22,"&gt;0")</f>
        <v>4</v>
      </c>
      <c r="K22" s="15">
        <v>174</v>
      </c>
      <c r="L22" s="15" t="s">
        <v>83</v>
      </c>
      <c r="M22" s="15" t="s">
        <v>89</v>
      </c>
      <c r="N22" s="15" t="s">
        <v>85</v>
      </c>
      <c r="O22" s="15" t="s">
        <v>121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1</v>
      </c>
      <c r="W22" s="15">
        <v>0</v>
      </c>
      <c r="X22" s="15">
        <v>0</v>
      </c>
      <c r="Y22" s="15">
        <v>0</v>
      </c>
      <c r="Z22" s="15">
        <v>7</v>
      </c>
      <c r="AA22" s="15">
        <v>0</v>
      </c>
      <c r="AB22" s="15">
        <v>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M22" s="19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</row>
    <row r="23" spans="1:115" x14ac:dyDescent="0.2">
      <c r="A23" s="15" t="s">
        <v>122</v>
      </c>
      <c r="B23" s="10">
        <v>51.815533000000002</v>
      </c>
      <c r="C23" s="10">
        <v>-1.2947500000000001</v>
      </c>
      <c r="D23" t="s">
        <v>135</v>
      </c>
      <c r="E23" s="15" t="s">
        <v>73</v>
      </c>
      <c r="F23" s="15">
        <v>6</v>
      </c>
      <c r="G23" s="15">
        <v>3</v>
      </c>
      <c r="H23" s="15">
        <v>18</v>
      </c>
      <c r="I23" s="15">
        <f>SUM(P23:BC23)</f>
        <v>16</v>
      </c>
      <c r="J23" s="15">
        <f>COUNTIF(P23:BC23,"&gt;0")</f>
        <v>8</v>
      </c>
      <c r="K23" s="15">
        <v>350</v>
      </c>
      <c r="L23" s="15" t="s">
        <v>97</v>
      </c>
      <c r="M23" s="15" t="s">
        <v>89</v>
      </c>
      <c r="N23" s="15" t="s">
        <v>85</v>
      </c>
      <c r="O23" s="15" t="s">
        <v>121</v>
      </c>
      <c r="P23" s="15">
        <v>0</v>
      </c>
      <c r="Q23" s="15">
        <v>0</v>
      </c>
      <c r="R23" s="15">
        <v>0</v>
      </c>
      <c r="S23" s="15">
        <v>1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5</v>
      </c>
      <c r="AA23" s="15">
        <v>0</v>
      </c>
      <c r="AB23" s="15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</v>
      </c>
      <c r="AQ23">
        <v>0</v>
      </c>
      <c r="AR23">
        <v>0</v>
      </c>
      <c r="AS23">
        <v>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0</v>
      </c>
      <c r="BC23">
        <v>2</v>
      </c>
      <c r="BM23" s="19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</row>
    <row r="24" spans="1:115" x14ac:dyDescent="0.2">
      <c r="A24" s="22" t="s">
        <v>123</v>
      </c>
      <c r="B24" s="10">
        <v>51.815832999999998</v>
      </c>
      <c r="C24" s="10">
        <v>-1.29295</v>
      </c>
      <c r="D24" t="s">
        <v>135</v>
      </c>
      <c r="E24" s="15" t="s">
        <v>73</v>
      </c>
      <c r="F24" s="15">
        <v>6</v>
      </c>
      <c r="G24" s="15">
        <v>3</v>
      </c>
      <c r="H24" s="15">
        <v>18</v>
      </c>
      <c r="I24" s="15">
        <f>SUM(P24:BC24)</f>
        <v>0</v>
      </c>
      <c r="J24" s="15">
        <f>COUNTIF(P24:BC24,"&gt;0")</f>
        <v>0</v>
      </c>
      <c r="K24" s="15">
        <v>161</v>
      </c>
      <c r="L24" s="15" t="s">
        <v>124</v>
      </c>
      <c r="M24" s="15" t="s">
        <v>76</v>
      </c>
      <c r="N24" s="15" t="s">
        <v>85</v>
      </c>
      <c r="O24" s="15" t="s">
        <v>121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M24" s="19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</row>
    <row r="25" spans="1:115" x14ac:dyDescent="0.2">
      <c r="A25" s="15" t="s">
        <v>125</v>
      </c>
      <c r="B25" s="10">
        <v>51.815133000000003</v>
      </c>
      <c r="C25" s="10">
        <v>-1.2927</v>
      </c>
      <c r="D25" t="s">
        <v>135</v>
      </c>
      <c r="E25" s="15" t="s">
        <v>79</v>
      </c>
      <c r="F25" s="15">
        <v>8</v>
      </c>
      <c r="G25" s="15">
        <v>3</v>
      </c>
      <c r="H25" s="15">
        <v>24</v>
      </c>
      <c r="I25" s="15">
        <f>SUM(P25:BC25)</f>
        <v>23</v>
      </c>
      <c r="J25" s="15">
        <f>COUNTIF(P25:BC25,"&gt;0")</f>
        <v>6</v>
      </c>
      <c r="K25" s="15">
        <v>287</v>
      </c>
      <c r="L25" s="15" t="s">
        <v>92</v>
      </c>
      <c r="M25" s="15" t="s">
        <v>81</v>
      </c>
      <c r="N25" s="15" t="s">
        <v>89</v>
      </c>
      <c r="O25" s="15" t="s">
        <v>121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1</v>
      </c>
      <c r="X25" s="15">
        <v>0</v>
      </c>
      <c r="Y25" s="15">
        <v>0</v>
      </c>
      <c r="Z25" s="15">
        <v>4</v>
      </c>
      <c r="AA25" s="15">
        <v>0</v>
      </c>
      <c r="AB25" s="15">
        <v>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9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4</v>
      </c>
      <c r="BA25">
        <v>0</v>
      </c>
      <c r="BB25">
        <v>0</v>
      </c>
      <c r="BC25">
        <v>0</v>
      </c>
      <c r="BM25" s="19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</row>
    <row r="26" spans="1:115" x14ac:dyDescent="0.2">
      <c r="A26" s="15" t="s">
        <v>126</v>
      </c>
      <c r="B26" s="10">
        <v>51.815100000000001</v>
      </c>
      <c r="C26" s="10">
        <v>-1.2924329999999999</v>
      </c>
      <c r="D26" t="s">
        <v>135</v>
      </c>
      <c r="E26" s="15" t="s">
        <v>79</v>
      </c>
      <c r="F26" s="15">
        <v>8</v>
      </c>
      <c r="G26" s="15">
        <v>3</v>
      </c>
      <c r="H26" s="15">
        <v>24</v>
      </c>
      <c r="I26" s="15">
        <f>SUM(P26:BC26)</f>
        <v>64</v>
      </c>
      <c r="J26" s="15">
        <f>COUNTIF(P26:BC26,"&gt;0")</f>
        <v>10</v>
      </c>
      <c r="K26" s="15">
        <v>117</v>
      </c>
      <c r="L26" s="15" t="s">
        <v>80</v>
      </c>
      <c r="M26" s="15" t="s">
        <v>81</v>
      </c>
      <c r="N26" s="15" t="s">
        <v>89</v>
      </c>
      <c r="O26" s="15" t="s">
        <v>113</v>
      </c>
      <c r="P26" s="15">
        <v>0</v>
      </c>
      <c r="Q26" s="15">
        <v>7</v>
      </c>
      <c r="R26" s="15">
        <v>0</v>
      </c>
      <c r="S26" s="15">
        <v>0</v>
      </c>
      <c r="T26" s="15">
        <v>0</v>
      </c>
      <c r="U26" s="15">
        <v>0</v>
      </c>
      <c r="V26" s="15">
        <v>2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10</v>
      </c>
      <c r="AC26">
        <v>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24</v>
      </c>
      <c r="AP26">
        <v>2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</v>
      </c>
      <c r="BA26">
        <v>7</v>
      </c>
      <c r="BB26">
        <v>1</v>
      </c>
      <c r="BC26">
        <v>0</v>
      </c>
      <c r="BM26" s="19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</row>
    <row r="27" spans="1:115" x14ac:dyDescent="0.2">
      <c r="A27" s="15" t="s">
        <v>127</v>
      </c>
      <c r="B27" s="10">
        <v>51.812600000000003</v>
      </c>
      <c r="C27" s="10">
        <v>-1.293833</v>
      </c>
      <c r="D27" t="s">
        <v>135</v>
      </c>
      <c r="E27" s="15" t="s">
        <v>79</v>
      </c>
      <c r="F27" s="15">
        <v>8</v>
      </c>
      <c r="G27" s="15">
        <v>3</v>
      </c>
      <c r="H27" s="15">
        <v>24</v>
      </c>
      <c r="I27" s="15">
        <f>SUM(P27:BC27)</f>
        <v>37</v>
      </c>
      <c r="J27" s="15">
        <f>COUNTIF(P27:BC27,"&gt;0")</f>
        <v>8</v>
      </c>
      <c r="K27" s="15">
        <v>102</v>
      </c>
      <c r="L27" s="15" t="s">
        <v>88</v>
      </c>
      <c r="M27" s="15" t="s">
        <v>89</v>
      </c>
      <c r="N27" s="15" t="s">
        <v>75</v>
      </c>
      <c r="O27" s="15" t="s">
        <v>113</v>
      </c>
      <c r="P27" s="15">
        <v>0</v>
      </c>
      <c r="Q27" s="15">
        <v>0</v>
      </c>
      <c r="R27" s="15">
        <v>0</v>
      </c>
      <c r="S27" s="15">
        <v>2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24</v>
      </c>
      <c r="AC27">
        <v>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</v>
      </c>
      <c r="BA27">
        <v>1</v>
      </c>
      <c r="BB27">
        <v>0</v>
      </c>
      <c r="BC27">
        <v>0</v>
      </c>
      <c r="BM27" s="19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</row>
    <row r="28" spans="1:115" x14ac:dyDescent="0.2">
      <c r="A28" s="15" t="s">
        <v>128</v>
      </c>
      <c r="B28" s="10">
        <v>51.809583000000003</v>
      </c>
      <c r="C28" s="10">
        <v>-1.2956669999999999</v>
      </c>
      <c r="D28" t="s">
        <v>135</v>
      </c>
      <c r="E28" s="15" t="s">
        <v>79</v>
      </c>
      <c r="F28" s="15">
        <v>8</v>
      </c>
      <c r="G28" s="15">
        <v>3</v>
      </c>
      <c r="H28" s="15">
        <v>24</v>
      </c>
      <c r="I28" s="15">
        <f>SUM(P28:BC28)</f>
        <v>49</v>
      </c>
      <c r="J28" s="15">
        <f>COUNTIF(P28:BC28,"&gt;0")</f>
        <v>7</v>
      </c>
      <c r="K28" s="15">
        <v>98</v>
      </c>
      <c r="L28" s="15" t="s">
        <v>88</v>
      </c>
      <c r="M28" s="15" t="s">
        <v>75</v>
      </c>
      <c r="N28" s="15" t="s">
        <v>75</v>
      </c>
      <c r="O28" s="15" t="s">
        <v>113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2</v>
      </c>
      <c r="W28" s="15">
        <v>0</v>
      </c>
      <c r="X28" s="15">
        <v>0</v>
      </c>
      <c r="Y28" s="15">
        <v>0</v>
      </c>
      <c r="Z28" s="15">
        <v>1</v>
      </c>
      <c r="AA28" s="15">
        <v>0</v>
      </c>
      <c r="AB28" s="15">
        <v>38</v>
      </c>
      <c r="AC28">
        <v>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1</v>
      </c>
      <c r="BC28">
        <v>0</v>
      </c>
      <c r="BM28" s="19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</row>
    <row r="29" spans="1:115" x14ac:dyDescent="0.2">
      <c r="A29" s="15" t="s">
        <v>129</v>
      </c>
      <c r="B29" s="10">
        <v>51.807749999999999</v>
      </c>
      <c r="C29" s="10">
        <v>-1.29295</v>
      </c>
      <c r="D29" t="s">
        <v>135</v>
      </c>
      <c r="E29" s="15" t="s">
        <v>79</v>
      </c>
      <c r="F29" s="15">
        <v>8</v>
      </c>
      <c r="G29" s="15">
        <v>2</v>
      </c>
      <c r="H29" s="15">
        <v>16</v>
      </c>
      <c r="I29" s="15">
        <f>SUM(P29:BC29)</f>
        <v>41</v>
      </c>
      <c r="J29" s="15">
        <f>COUNTIF(P29:BC29,"&gt;0")</f>
        <v>9</v>
      </c>
      <c r="K29" s="15">
        <v>285</v>
      </c>
      <c r="L29" s="15" t="s">
        <v>92</v>
      </c>
      <c r="M29" s="15" t="s">
        <v>75</v>
      </c>
      <c r="N29" s="15" t="s">
        <v>89</v>
      </c>
      <c r="O29" s="15" t="s">
        <v>113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3</v>
      </c>
      <c r="X29" s="15">
        <v>0</v>
      </c>
      <c r="Y29" s="15">
        <v>0</v>
      </c>
      <c r="Z29" s="15">
        <v>4</v>
      </c>
      <c r="AA29" s="15">
        <v>0</v>
      </c>
      <c r="AB29" s="15">
        <v>25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M29" s="19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</row>
    <row r="30" spans="1:115" x14ac:dyDescent="0.2">
      <c r="A30" s="15" t="s">
        <v>130</v>
      </c>
      <c r="B30" s="10">
        <v>51.808599999999998</v>
      </c>
      <c r="C30" s="10">
        <v>-1.288683</v>
      </c>
      <c r="D30" t="s">
        <v>135</v>
      </c>
      <c r="E30" s="15" t="s">
        <v>73</v>
      </c>
      <c r="F30" s="15">
        <v>6</v>
      </c>
      <c r="G30" s="15">
        <v>3</v>
      </c>
      <c r="H30" s="15">
        <v>18</v>
      </c>
      <c r="I30" s="15">
        <f>SUM(P30:BC30)</f>
        <v>34</v>
      </c>
      <c r="J30" s="15">
        <f>COUNTIF(P30:BC30,"&gt;0")</f>
        <v>4</v>
      </c>
      <c r="K30" s="15">
        <v>274</v>
      </c>
      <c r="L30" s="15" t="s">
        <v>92</v>
      </c>
      <c r="M30" s="15" t="s">
        <v>76</v>
      </c>
      <c r="N30" s="15" t="s">
        <v>89</v>
      </c>
      <c r="O30" s="15" t="s">
        <v>113</v>
      </c>
      <c r="P30" s="15">
        <v>0</v>
      </c>
      <c r="Q30" s="15">
        <v>0</v>
      </c>
      <c r="R30" s="15">
        <v>0</v>
      </c>
      <c r="S30" s="15">
        <v>1</v>
      </c>
      <c r="T30" s="15">
        <v>0</v>
      </c>
      <c r="U30" s="15">
        <v>0</v>
      </c>
      <c r="V30" s="15">
        <v>1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29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M30" s="19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</row>
    <row r="31" spans="1:115" x14ac:dyDescent="0.2">
      <c r="A31" s="15" t="s">
        <v>131</v>
      </c>
      <c r="B31" s="10">
        <v>51.811216999999999</v>
      </c>
      <c r="C31" s="10">
        <v>-1.2882830000000001</v>
      </c>
      <c r="D31" t="s">
        <v>135</v>
      </c>
      <c r="E31" s="15" t="s">
        <v>73</v>
      </c>
      <c r="F31" s="15">
        <v>6</v>
      </c>
      <c r="G31" s="15">
        <v>3</v>
      </c>
      <c r="H31" s="15">
        <v>18</v>
      </c>
      <c r="I31" s="15">
        <f>SUM(P31:BC31)</f>
        <v>59</v>
      </c>
      <c r="J31" s="15">
        <f>COUNTIF(P31:BC31,"&gt;0")</f>
        <v>8</v>
      </c>
      <c r="K31" s="15">
        <v>278</v>
      </c>
      <c r="L31" s="15" t="s">
        <v>92</v>
      </c>
      <c r="M31" s="15" t="s">
        <v>76</v>
      </c>
      <c r="N31" s="15" t="s">
        <v>75</v>
      </c>
      <c r="O31" s="15" t="s">
        <v>113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1</v>
      </c>
      <c r="W31" s="15">
        <v>0</v>
      </c>
      <c r="X31" s="15">
        <v>0</v>
      </c>
      <c r="Y31" s="15">
        <v>0</v>
      </c>
      <c r="Z31" s="15">
        <v>9</v>
      </c>
      <c r="AA31" s="15">
        <v>0</v>
      </c>
      <c r="AB31" s="15">
        <v>39</v>
      </c>
      <c r="AC31">
        <v>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M31" s="19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</row>
    <row r="32" spans="1:115" x14ac:dyDescent="0.2">
      <c r="A32" s="15" t="s">
        <v>72</v>
      </c>
      <c r="B32" s="10">
        <v>51.822099999999999</v>
      </c>
      <c r="C32" s="10">
        <v>-1.2992330000000001</v>
      </c>
      <c r="D32" t="s">
        <v>136</v>
      </c>
      <c r="E32" s="15" t="s">
        <v>73</v>
      </c>
      <c r="F32" s="15">
        <v>6</v>
      </c>
      <c r="G32" s="15">
        <v>3</v>
      </c>
      <c r="H32" s="15">
        <v>18</v>
      </c>
      <c r="I32" s="15">
        <f>SUM(P32:BC32)</f>
        <v>3</v>
      </c>
      <c r="J32" s="15">
        <f>COUNTIF(P32:BC32,"&gt;0")</f>
        <v>2</v>
      </c>
      <c r="K32" s="20">
        <v>225</v>
      </c>
      <c r="L32" s="15" t="s">
        <v>74</v>
      </c>
      <c r="M32" s="15" t="s">
        <v>75</v>
      </c>
      <c r="N32" s="15" t="s">
        <v>76</v>
      </c>
      <c r="O32" s="15" t="s">
        <v>77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1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M32" s="19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</row>
    <row r="33" spans="1:115" x14ac:dyDescent="0.2">
      <c r="A33" s="15" t="s">
        <v>78</v>
      </c>
      <c r="B33" s="10">
        <v>51.822516999999998</v>
      </c>
      <c r="C33" s="10">
        <v>-1.3022499999999999</v>
      </c>
      <c r="D33" t="s">
        <v>136</v>
      </c>
      <c r="E33" s="15" t="s">
        <v>79</v>
      </c>
      <c r="F33" s="15">
        <v>8</v>
      </c>
      <c r="G33" s="15">
        <v>3</v>
      </c>
      <c r="H33" s="15">
        <v>24</v>
      </c>
      <c r="I33" s="15">
        <f>SUM(P33:BC33)</f>
        <v>34</v>
      </c>
      <c r="J33" s="15">
        <f>COUNTIF(P33:BC33,"&gt;0")</f>
        <v>8</v>
      </c>
      <c r="K33" s="15">
        <v>150</v>
      </c>
      <c r="L33" s="15" t="s">
        <v>80</v>
      </c>
      <c r="M33" s="15" t="s">
        <v>81</v>
      </c>
      <c r="N33" s="15" t="s">
        <v>75</v>
      </c>
      <c r="O33" s="15" t="s">
        <v>77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1</v>
      </c>
      <c r="V33" s="15">
        <v>1</v>
      </c>
      <c r="W33" s="15">
        <v>0</v>
      </c>
      <c r="X33" s="15">
        <v>0</v>
      </c>
      <c r="Y33" s="15">
        <v>0</v>
      </c>
      <c r="Z33" s="15">
        <v>2</v>
      </c>
      <c r="AA33" s="15">
        <v>0</v>
      </c>
      <c r="AB33" s="15">
        <v>10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17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M33" s="19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</row>
    <row r="34" spans="1:115" x14ac:dyDescent="0.2">
      <c r="A34" s="15" t="s">
        <v>82</v>
      </c>
      <c r="B34" s="10">
        <v>51.823616999999999</v>
      </c>
      <c r="C34" s="10">
        <v>-1.3056000000000001</v>
      </c>
      <c r="D34" t="s">
        <v>136</v>
      </c>
      <c r="E34" s="15" t="s">
        <v>73</v>
      </c>
      <c r="F34" s="15">
        <v>6</v>
      </c>
      <c r="G34" s="15">
        <v>3</v>
      </c>
      <c r="H34" s="15">
        <v>18</v>
      </c>
      <c r="I34" s="15">
        <f>SUM(P34:BC34)</f>
        <v>24</v>
      </c>
      <c r="J34" s="15">
        <f>COUNTIF(P34:BC34,"&gt;0")</f>
        <v>7</v>
      </c>
      <c r="K34" s="15">
        <v>179</v>
      </c>
      <c r="L34" s="15" t="s">
        <v>83</v>
      </c>
      <c r="M34" s="15" t="s">
        <v>84</v>
      </c>
      <c r="N34" s="15" t="s">
        <v>85</v>
      </c>
      <c r="O34" s="15" t="s">
        <v>86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2</v>
      </c>
      <c r="AA34" s="15">
        <v>0</v>
      </c>
      <c r="AB34" s="15">
        <v>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14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M34" s="19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</row>
    <row r="35" spans="1:115" x14ac:dyDescent="0.2">
      <c r="A35" s="15" t="s">
        <v>87</v>
      </c>
      <c r="B35" s="10">
        <v>51.822032999999998</v>
      </c>
      <c r="C35" s="10">
        <v>-1.30945</v>
      </c>
      <c r="D35" t="s">
        <v>136</v>
      </c>
      <c r="E35" s="15" t="s">
        <v>73</v>
      </c>
      <c r="F35" s="15">
        <v>6</v>
      </c>
      <c r="G35" s="15">
        <v>3</v>
      </c>
      <c r="H35" s="15">
        <v>18</v>
      </c>
      <c r="I35" s="15">
        <f>SUM(P35:BC35)</f>
        <v>30</v>
      </c>
      <c r="J35" s="15">
        <f>COUNTIF(P35:BC35,"&gt;0")</f>
        <v>13</v>
      </c>
      <c r="K35" s="15">
        <v>88</v>
      </c>
      <c r="L35" s="15" t="s">
        <v>88</v>
      </c>
      <c r="M35" s="15" t="s">
        <v>81</v>
      </c>
      <c r="N35" s="15" t="s">
        <v>89</v>
      </c>
      <c r="O35" s="15" t="s">
        <v>86</v>
      </c>
      <c r="P35" s="15">
        <v>0</v>
      </c>
      <c r="Q35" s="15">
        <v>0</v>
      </c>
      <c r="R35" s="15">
        <v>0</v>
      </c>
      <c r="S35" s="15">
        <v>4</v>
      </c>
      <c r="T35" s="15">
        <v>0</v>
      </c>
      <c r="U35" s="15">
        <v>2</v>
      </c>
      <c r="V35" s="15">
        <v>1</v>
      </c>
      <c r="W35" s="15">
        <v>1</v>
      </c>
      <c r="X35" s="15">
        <v>0</v>
      </c>
      <c r="Y35" s="15">
        <v>0</v>
      </c>
      <c r="Z35" s="15">
        <v>2</v>
      </c>
      <c r="AA35" s="15">
        <v>0</v>
      </c>
      <c r="AB35" s="15">
        <v>5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</v>
      </c>
      <c r="AP35">
        <v>3</v>
      </c>
      <c r="AQ35">
        <v>0</v>
      </c>
      <c r="AR35">
        <v>0</v>
      </c>
      <c r="AS35">
        <v>3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1</v>
      </c>
      <c r="BC35">
        <v>0</v>
      </c>
      <c r="BM35" s="19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</row>
    <row r="36" spans="1:115" x14ac:dyDescent="0.2">
      <c r="A36" s="15" t="s">
        <v>90</v>
      </c>
      <c r="B36" s="10">
        <v>51.820900000000002</v>
      </c>
      <c r="C36" s="10">
        <v>-1.3093669999999999</v>
      </c>
      <c r="D36" t="s">
        <v>136</v>
      </c>
      <c r="E36" s="15" t="s">
        <v>91</v>
      </c>
      <c r="F36" s="15">
        <v>2</v>
      </c>
      <c r="G36" s="15">
        <v>2</v>
      </c>
      <c r="H36" s="15">
        <v>4</v>
      </c>
      <c r="I36" s="15">
        <f>SUM(P36:BC36)</f>
        <v>30</v>
      </c>
      <c r="J36" s="15">
        <f>COUNTIF(P36:BC36,"&gt;0")</f>
        <v>9</v>
      </c>
      <c r="K36" s="15">
        <v>255</v>
      </c>
      <c r="L36" s="15" t="s">
        <v>92</v>
      </c>
      <c r="M36" s="15" t="s">
        <v>85</v>
      </c>
      <c r="N36" s="15" t="s">
        <v>84</v>
      </c>
      <c r="O36" s="15" t="s">
        <v>86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2</v>
      </c>
      <c r="W36" s="15">
        <v>0</v>
      </c>
      <c r="X36" s="15">
        <v>0</v>
      </c>
      <c r="Y36" s="15">
        <v>0</v>
      </c>
      <c r="Z36" s="15">
        <v>2</v>
      </c>
      <c r="AA36" s="15">
        <v>0</v>
      </c>
      <c r="AB36" s="15">
        <v>12</v>
      </c>
      <c r="AC36">
        <v>3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M36" s="19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</row>
    <row r="37" spans="1:115" x14ac:dyDescent="0.2">
      <c r="A37" s="15" t="s">
        <v>93</v>
      </c>
      <c r="B37" s="10">
        <v>51.818367000000002</v>
      </c>
      <c r="C37" s="10">
        <v>-1.3125830000000001</v>
      </c>
      <c r="D37" t="s">
        <v>136</v>
      </c>
      <c r="E37" s="15" t="s">
        <v>73</v>
      </c>
      <c r="F37" s="15">
        <v>6</v>
      </c>
      <c r="G37" s="15">
        <v>2</v>
      </c>
      <c r="H37" s="15">
        <v>12</v>
      </c>
      <c r="I37" s="15">
        <f>SUM(P37:BC37)</f>
        <v>33</v>
      </c>
      <c r="J37" s="15">
        <f>COUNTIF(P37:BC37,"&gt;0")</f>
        <v>4</v>
      </c>
      <c r="K37" s="15">
        <v>255</v>
      </c>
      <c r="L37" s="15" t="s">
        <v>92</v>
      </c>
      <c r="M37" s="15" t="s">
        <v>75</v>
      </c>
      <c r="N37" s="15" t="s">
        <v>85</v>
      </c>
      <c r="O37" s="15" t="s">
        <v>94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19</v>
      </c>
      <c r="AA37" s="15">
        <v>0</v>
      </c>
      <c r="AB37" s="15">
        <v>11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M37" s="19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</row>
    <row r="38" spans="1:115" x14ac:dyDescent="0.2">
      <c r="A38" s="15" t="s">
        <v>95</v>
      </c>
      <c r="B38" s="10">
        <v>51.817667</v>
      </c>
      <c r="C38" s="10">
        <v>-1.314683</v>
      </c>
      <c r="D38" t="s">
        <v>136</v>
      </c>
      <c r="E38" s="15" t="s">
        <v>96</v>
      </c>
      <c r="F38" s="15">
        <v>4</v>
      </c>
      <c r="G38" s="15">
        <v>3</v>
      </c>
      <c r="H38" s="15">
        <v>12</v>
      </c>
      <c r="I38" s="15">
        <f>SUM(P38:BC38)</f>
        <v>13</v>
      </c>
      <c r="J38" s="15">
        <f>COUNTIF(P38:BC38,"&gt;0")</f>
        <v>6</v>
      </c>
      <c r="K38" s="15">
        <v>2</v>
      </c>
      <c r="L38" s="15" t="s">
        <v>97</v>
      </c>
      <c r="M38" s="15" t="s">
        <v>84</v>
      </c>
      <c r="N38" s="15" t="s">
        <v>84</v>
      </c>
      <c r="O38" s="15" t="s">
        <v>94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1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</v>
      </c>
      <c r="AP38">
        <v>1</v>
      </c>
      <c r="AQ38">
        <v>0</v>
      </c>
      <c r="AR38">
        <v>0</v>
      </c>
      <c r="AS38">
        <v>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2</v>
      </c>
      <c r="BA38">
        <v>0</v>
      </c>
      <c r="BB38">
        <v>0</v>
      </c>
      <c r="BC38">
        <v>0</v>
      </c>
      <c r="BM38" s="19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</row>
    <row r="39" spans="1:115" x14ac:dyDescent="0.2">
      <c r="A39" s="15" t="s">
        <v>98</v>
      </c>
      <c r="B39" s="10">
        <v>51.817332999999998</v>
      </c>
      <c r="C39" s="10">
        <v>-1.3145</v>
      </c>
      <c r="D39" t="s">
        <v>136</v>
      </c>
      <c r="E39" s="15" t="s">
        <v>73</v>
      </c>
      <c r="F39" s="15">
        <v>6</v>
      </c>
      <c r="G39" s="15">
        <v>3</v>
      </c>
      <c r="H39" s="15">
        <v>18</v>
      </c>
      <c r="I39" s="15">
        <f>SUM(P39:BC39)</f>
        <v>28</v>
      </c>
      <c r="J39" s="15">
        <f>COUNTIF(P39:BC39,"&gt;0")</f>
        <v>9</v>
      </c>
      <c r="K39" s="15">
        <v>171</v>
      </c>
      <c r="L39" s="15" t="s">
        <v>83</v>
      </c>
      <c r="M39" s="15" t="s">
        <v>81</v>
      </c>
      <c r="N39" s="15" t="s">
        <v>89</v>
      </c>
      <c r="O39" s="15" t="s">
        <v>99</v>
      </c>
      <c r="P39" s="15">
        <v>0</v>
      </c>
      <c r="Q39" s="15">
        <v>1</v>
      </c>
      <c r="R39" s="15">
        <v>0</v>
      </c>
      <c r="S39" s="15">
        <v>2</v>
      </c>
      <c r="T39" s="15">
        <v>0</v>
      </c>
      <c r="U39" s="15">
        <v>0</v>
      </c>
      <c r="V39" s="15">
        <v>1</v>
      </c>
      <c r="W39" s="15">
        <v>0</v>
      </c>
      <c r="X39" s="15">
        <v>0</v>
      </c>
      <c r="Y39" s="15">
        <v>0</v>
      </c>
      <c r="Z39" s="15">
        <v>5</v>
      </c>
      <c r="AA39" s="15">
        <v>0</v>
      </c>
      <c r="AB39" s="15">
        <v>10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</v>
      </c>
      <c r="AP39">
        <v>2</v>
      </c>
      <c r="AQ39">
        <v>0</v>
      </c>
      <c r="AR39">
        <v>0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M39" s="19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</row>
    <row r="40" spans="1:115" x14ac:dyDescent="0.2">
      <c r="A40" s="15" t="s">
        <v>100</v>
      </c>
      <c r="B40" s="10">
        <v>51.816682999999998</v>
      </c>
      <c r="C40" s="10">
        <v>-1.31325</v>
      </c>
      <c r="D40" t="s">
        <v>136</v>
      </c>
      <c r="E40" s="15" t="s">
        <v>73</v>
      </c>
      <c r="F40" s="15">
        <v>6</v>
      </c>
      <c r="G40" s="15">
        <v>2</v>
      </c>
      <c r="H40" s="15">
        <v>12</v>
      </c>
      <c r="I40" s="15">
        <f>SUM(P40:BC40)</f>
        <v>23</v>
      </c>
      <c r="J40" s="15">
        <f>COUNTIF(P40:BC40,"&gt;0")</f>
        <v>9</v>
      </c>
      <c r="K40" s="15">
        <v>268</v>
      </c>
      <c r="L40" s="15" t="s">
        <v>92</v>
      </c>
      <c r="M40" s="15" t="s">
        <v>75</v>
      </c>
      <c r="N40" s="15" t="s">
        <v>89</v>
      </c>
      <c r="O40" s="15" t="s">
        <v>94</v>
      </c>
      <c r="P40" s="15">
        <v>0</v>
      </c>
      <c r="Q40" s="15">
        <v>0</v>
      </c>
      <c r="R40" s="15">
        <v>0</v>
      </c>
      <c r="S40" s="15">
        <v>1</v>
      </c>
      <c r="T40" s="15">
        <v>0</v>
      </c>
      <c r="U40" s="15">
        <v>0</v>
      </c>
      <c r="V40" s="15">
        <v>1</v>
      </c>
      <c r="W40" s="15">
        <v>0</v>
      </c>
      <c r="X40" s="15">
        <v>0</v>
      </c>
      <c r="Y40" s="15">
        <v>0</v>
      </c>
      <c r="Z40" s="15">
        <v>5</v>
      </c>
      <c r="AA40" s="15">
        <v>0</v>
      </c>
      <c r="AB40" s="15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7</v>
      </c>
      <c r="AP40">
        <v>3</v>
      </c>
      <c r="AQ40">
        <v>0</v>
      </c>
      <c r="AR40">
        <v>0</v>
      </c>
      <c r="AS40">
        <v>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2</v>
      </c>
      <c r="BA40">
        <v>0</v>
      </c>
      <c r="BB40">
        <v>0</v>
      </c>
      <c r="BC40">
        <v>0</v>
      </c>
      <c r="BM40" s="19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</row>
    <row r="41" spans="1:115" x14ac:dyDescent="0.2">
      <c r="A41" s="15" t="s">
        <v>101</v>
      </c>
      <c r="B41" s="10">
        <v>51.815100000000001</v>
      </c>
      <c r="C41" s="10">
        <v>-1.313367</v>
      </c>
      <c r="D41" t="s">
        <v>136</v>
      </c>
      <c r="E41" s="15" t="s">
        <v>102</v>
      </c>
      <c r="F41" s="15">
        <v>1</v>
      </c>
      <c r="G41" s="15">
        <v>3</v>
      </c>
      <c r="H41" s="15">
        <v>3</v>
      </c>
      <c r="I41" s="15">
        <f>SUM(P41:BC41)</f>
        <v>5</v>
      </c>
      <c r="J41" s="15">
        <f>COUNTIF(P41:BC41,"&gt;0")</f>
        <v>2</v>
      </c>
      <c r="K41" s="15">
        <v>333</v>
      </c>
      <c r="L41" s="15" t="s">
        <v>103</v>
      </c>
      <c r="M41" s="15" t="s">
        <v>104</v>
      </c>
      <c r="N41" s="15" t="s">
        <v>84</v>
      </c>
      <c r="O41" s="15" t="s">
        <v>94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1</v>
      </c>
      <c r="X41" s="15">
        <v>0</v>
      </c>
      <c r="Y41" s="15">
        <v>0</v>
      </c>
      <c r="Z41" s="15">
        <v>4</v>
      </c>
      <c r="AA41" s="15">
        <v>0</v>
      </c>
      <c r="AB41" s="15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M41" s="19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</row>
    <row r="42" spans="1:115" x14ac:dyDescent="0.2">
      <c r="A42" s="15" t="s">
        <v>105</v>
      </c>
      <c r="B42" s="10">
        <v>51.817749999999997</v>
      </c>
      <c r="C42" s="10">
        <v>-1.310883</v>
      </c>
      <c r="D42" t="s">
        <v>136</v>
      </c>
      <c r="E42" s="15" t="s">
        <v>96</v>
      </c>
      <c r="F42" s="15">
        <v>4</v>
      </c>
      <c r="G42" s="15">
        <v>3</v>
      </c>
      <c r="H42" s="15">
        <v>12</v>
      </c>
      <c r="I42" s="15">
        <f>SUM(P42:BC42)</f>
        <v>25</v>
      </c>
      <c r="J42" s="15">
        <f>COUNTIF(P42:BC42,"&gt;0")</f>
        <v>5</v>
      </c>
      <c r="K42" s="15">
        <v>0</v>
      </c>
      <c r="L42" s="15" t="s">
        <v>97</v>
      </c>
      <c r="M42" s="15" t="s">
        <v>85</v>
      </c>
      <c r="N42" s="15" t="s">
        <v>84</v>
      </c>
      <c r="O42" s="15" t="s">
        <v>94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1</v>
      </c>
      <c r="W42" s="15">
        <v>0</v>
      </c>
      <c r="X42" s="15">
        <v>0</v>
      </c>
      <c r="Y42" s="15">
        <v>0</v>
      </c>
      <c r="Z42" s="15">
        <v>15</v>
      </c>
      <c r="AA42" s="15">
        <v>0</v>
      </c>
      <c r="AB42" s="15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M42" s="19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</row>
    <row r="43" spans="1:115" x14ac:dyDescent="0.2">
      <c r="A43" s="15" t="s">
        <v>106</v>
      </c>
      <c r="B43" s="10">
        <v>51.816133000000001</v>
      </c>
      <c r="C43" s="10">
        <v>-1.3091330000000001</v>
      </c>
      <c r="D43" t="s">
        <v>136</v>
      </c>
      <c r="E43" s="15" t="s">
        <v>96</v>
      </c>
      <c r="F43" s="15">
        <v>4</v>
      </c>
      <c r="G43" s="15">
        <v>3</v>
      </c>
      <c r="H43" s="15">
        <v>12</v>
      </c>
      <c r="I43" s="15">
        <f>SUM(P43:BC43)</f>
        <v>21</v>
      </c>
      <c r="J43" s="15">
        <f>COUNTIF(P43:BC43,"&gt;0")</f>
        <v>6</v>
      </c>
      <c r="K43" s="15">
        <v>358</v>
      </c>
      <c r="L43" s="15" t="s">
        <v>97</v>
      </c>
      <c r="M43" s="15" t="s">
        <v>85</v>
      </c>
      <c r="N43" s="15" t="s">
        <v>85</v>
      </c>
      <c r="O43" s="15" t="s">
        <v>94</v>
      </c>
      <c r="P43" s="15">
        <v>0</v>
      </c>
      <c r="Q43" s="15">
        <v>0</v>
      </c>
      <c r="R43" s="15">
        <v>0</v>
      </c>
      <c r="S43" s="15">
        <v>1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8</v>
      </c>
      <c r="AA43" s="15">
        <v>0</v>
      </c>
      <c r="AB43" s="15">
        <v>6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M43" s="19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</row>
    <row r="44" spans="1:115" x14ac:dyDescent="0.2">
      <c r="A44" s="15" t="s">
        <v>107</v>
      </c>
      <c r="B44" s="10">
        <v>51.815100000000001</v>
      </c>
      <c r="C44" s="10">
        <v>-1.307833</v>
      </c>
      <c r="D44" t="s">
        <v>136</v>
      </c>
      <c r="E44" s="15" t="s">
        <v>96</v>
      </c>
      <c r="F44" s="15">
        <v>4</v>
      </c>
      <c r="G44" s="15">
        <v>3</v>
      </c>
      <c r="H44" s="15">
        <v>12</v>
      </c>
      <c r="I44" s="15">
        <f>SUM(P44:BC44)</f>
        <v>17</v>
      </c>
      <c r="J44" s="15">
        <f>COUNTIF(P44:BC44,"&gt;0")</f>
        <v>6</v>
      </c>
      <c r="K44" s="15">
        <v>4</v>
      </c>
      <c r="L44" s="15" t="s">
        <v>97</v>
      </c>
      <c r="M44" s="15" t="s">
        <v>84</v>
      </c>
      <c r="N44" s="15" t="s">
        <v>84</v>
      </c>
      <c r="O44" s="15" t="s">
        <v>108</v>
      </c>
      <c r="P44" s="15">
        <v>0</v>
      </c>
      <c r="Q44" s="15">
        <v>0</v>
      </c>
      <c r="R44" s="15">
        <v>0</v>
      </c>
      <c r="S44" s="15">
        <v>2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6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6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M44" s="19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</row>
    <row r="45" spans="1:115" x14ac:dyDescent="0.2">
      <c r="A45" s="15" t="s">
        <v>109</v>
      </c>
      <c r="B45" s="10">
        <v>51.816766999999999</v>
      </c>
      <c r="C45" s="10">
        <v>-1.3060499999999999</v>
      </c>
      <c r="D45" t="s">
        <v>136</v>
      </c>
      <c r="E45" s="15" t="s">
        <v>110</v>
      </c>
      <c r="F45" s="15">
        <v>2</v>
      </c>
      <c r="G45" s="15">
        <v>2</v>
      </c>
      <c r="H45" s="15">
        <v>4</v>
      </c>
      <c r="I45" s="15">
        <f>SUM(P45:BC45)</f>
        <v>15</v>
      </c>
      <c r="J45" s="15">
        <f>COUNTIF(P45:BC45,"&gt;0")</f>
        <v>8</v>
      </c>
      <c r="K45" s="15">
        <v>268</v>
      </c>
      <c r="L45" s="15" t="s">
        <v>92</v>
      </c>
      <c r="M45" s="15" t="s">
        <v>104</v>
      </c>
      <c r="N45" s="15" t="s">
        <v>104</v>
      </c>
      <c r="O45" s="15" t="s">
        <v>99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1</v>
      </c>
      <c r="V45" s="15">
        <v>1</v>
      </c>
      <c r="W45" s="15">
        <v>0</v>
      </c>
      <c r="X45" s="15">
        <v>1</v>
      </c>
      <c r="Y45" s="15">
        <v>0</v>
      </c>
      <c r="Z45" s="15">
        <v>2</v>
      </c>
      <c r="AA45" s="15">
        <v>0</v>
      </c>
      <c r="AB45" s="15">
        <v>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M45" s="19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</row>
    <row r="46" spans="1:115" x14ac:dyDescent="0.2">
      <c r="A46" s="15" t="s">
        <v>111</v>
      </c>
      <c r="B46" s="10">
        <v>51.816682999999998</v>
      </c>
      <c r="C46" s="10">
        <v>-1.305917</v>
      </c>
      <c r="D46" t="s">
        <v>136</v>
      </c>
      <c r="E46" s="15" t="s">
        <v>110</v>
      </c>
      <c r="F46" s="15">
        <v>2</v>
      </c>
      <c r="G46" s="15">
        <v>2</v>
      </c>
      <c r="H46" s="15">
        <v>4</v>
      </c>
      <c r="I46" s="15">
        <f>SUM(P46:BC46)</f>
        <v>42</v>
      </c>
      <c r="J46" s="15">
        <f>COUNTIF(P46:BC46,"&gt;0")</f>
        <v>7</v>
      </c>
      <c r="K46" s="15">
        <v>84</v>
      </c>
      <c r="L46" s="15" t="s">
        <v>88</v>
      </c>
      <c r="M46" s="15" t="s">
        <v>104</v>
      </c>
      <c r="N46" s="15" t="s">
        <v>104</v>
      </c>
      <c r="O46" s="15" t="s">
        <v>99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1</v>
      </c>
      <c r="V46" s="15">
        <v>0</v>
      </c>
      <c r="W46" s="15">
        <v>0</v>
      </c>
      <c r="X46" s="15">
        <v>0</v>
      </c>
      <c r="Y46" s="15">
        <v>0</v>
      </c>
      <c r="Z46" s="15">
        <v>9</v>
      </c>
      <c r="AA46" s="15">
        <v>0</v>
      </c>
      <c r="AB46" s="15">
        <v>5</v>
      </c>
      <c r="AC46">
        <v>0</v>
      </c>
      <c r="AD46">
        <v>0</v>
      </c>
      <c r="AE46">
        <v>21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2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</v>
      </c>
      <c r="BA46">
        <v>0</v>
      </c>
      <c r="BB46">
        <v>0</v>
      </c>
      <c r="BC46">
        <v>0</v>
      </c>
      <c r="BM46" s="19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</row>
    <row r="47" spans="1:115" x14ac:dyDescent="0.2">
      <c r="A47" s="15" t="s">
        <v>112</v>
      </c>
      <c r="B47" s="10">
        <v>51.815632999999998</v>
      </c>
      <c r="C47" s="10">
        <v>-1.2991999999999999</v>
      </c>
      <c r="D47" t="s">
        <v>136</v>
      </c>
      <c r="E47" s="15" t="s">
        <v>96</v>
      </c>
      <c r="F47" s="15">
        <v>4</v>
      </c>
      <c r="G47" s="15">
        <v>3</v>
      </c>
      <c r="H47" s="15">
        <v>12</v>
      </c>
      <c r="I47" s="15">
        <f>SUM(P47:BC47)</f>
        <v>55</v>
      </c>
      <c r="J47" s="15">
        <f>COUNTIF(P47:BC47,"&gt;0")</f>
        <v>7</v>
      </c>
      <c r="K47" s="15">
        <v>179</v>
      </c>
      <c r="L47" s="15" t="s">
        <v>83</v>
      </c>
      <c r="M47" s="15" t="s">
        <v>84</v>
      </c>
      <c r="N47" s="15" t="s">
        <v>85</v>
      </c>
      <c r="O47" s="15" t="s">
        <v>113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0</v>
      </c>
      <c r="Z47" s="15">
        <v>46</v>
      </c>
      <c r="AA47" s="15">
        <v>0</v>
      </c>
      <c r="AB47" s="15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3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M47" s="19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</row>
    <row r="48" spans="1:115" x14ac:dyDescent="0.2">
      <c r="A48" s="15" t="s">
        <v>114</v>
      </c>
      <c r="B48" s="10">
        <v>51.815617000000003</v>
      </c>
      <c r="C48" s="10">
        <v>-1.3024169999999999</v>
      </c>
      <c r="D48" t="s">
        <v>136</v>
      </c>
      <c r="E48" s="15" t="s">
        <v>73</v>
      </c>
      <c r="F48" s="15">
        <v>6</v>
      </c>
      <c r="G48" s="15">
        <v>3</v>
      </c>
      <c r="H48" s="15">
        <v>18</v>
      </c>
      <c r="I48" s="15">
        <f>SUM(P48:BC48)</f>
        <v>21</v>
      </c>
      <c r="J48" s="15">
        <f>COUNTIF(P48:BC48,"&gt;0")</f>
        <v>6</v>
      </c>
      <c r="K48" s="15">
        <v>182</v>
      </c>
      <c r="L48" s="15" t="s">
        <v>83</v>
      </c>
      <c r="M48" s="15" t="s">
        <v>85</v>
      </c>
      <c r="N48" s="15" t="s">
        <v>85</v>
      </c>
      <c r="O48" s="15" t="s">
        <v>115</v>
      </c>
      <c r="P48" s="15">
        <v>0</v>
      </c>
      <c r="Q48" s="15">
        <v>0</v>
      </c>
      <c r="R48" s="15">
        <v>0</v>
      </c>
      <c r="S48" s="15">
        <v>1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13</v>
      </c>
      <c r="AA48" s="15">
        <v>0</v>
      </c>
      <c r="AB48" s="15">
        <v>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M48" s="19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</row>
    <row r="49" spans="1:115" x14ac:dyDescent="0.2">
      <c r="A49" s="15" t="s">
        <v>116</v>
      </c>
      <c r="B49" s="10">
        <v>51.813732999999999</v>
      </c>
      <c r="C49" s="10">
        <v>-1.3007169999999999</v>
      </c>
      <c r="D49" t="s">
        <v>136</v>
      </c>
      <c r="E49" s="15" t="s">
        <v>96</v>
      </c>
      <c r="F49" s="15">
        <v>4</v>
      </c>
      <c r="G49" s="15">
        <v>2</v>
      </c>
      <c r="H49" s="15">
        <v>8</v>
      </c>
      <c r="I49" s="15">
        <f>SUM(P49:BC49)</f>
        <v>15</v>
      </c>
      <c r="J49" s="15">
        <f>COUNTIF(P49:BC49,"&gt;0")</f>
        <v>5</v>
      </c>
      <c r="K49" s="15">
        <v>165</v>
      </c>
      <c r="L49" s="15" t="s">
        <v>83</v>
      </c>
      <c r="M49" s="15" t="s">
        <v>76</v>
      </c>
      <c r="N49" s="15" t="s">
        <v>84</v>
      </c>
      <c r="O49" s="15" t="s">
        <v>86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1</v>
      </c>
      <c r="W49" s="15">
        <v>0</v>
      </c>
      <c r="X49" s="15">
        <v>0</v>
      </c>
      <c r="Y49" s="15">
        <v>0</v>
      </c>
      <c r="Z49" s="15">
        <v>3</v>
      </c>
      <c r="AA49" s="15">
        <v>0</v>
      </c>
      <c r="AB49" s="15">
        <v>0</v>
      </c>
      <c r="AC49">
        <v>0</v>
      </c>
      <c r="AD49">
        <v>0</v>
      </c>
      <c r="AE49">
        <v>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3</v>
      </c>
      <c r="BA49">
        <v>0</v>
      </c>
      <c r="BB49">
        <v>0</v>
      </c>
      <c r="BC49">
        <v>0</v>
      </c>
      <c r="BM49" s="19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</row>
    <row r="50" spans="1:115" x14ac:dyDescent="0.2">
      <c r="A50" s="15" t="s">
        <v>117</v>
      </c>
      <c r="B50" s="10">
        <v>51.810867000000002</v>
      </c>
      <c r="C50" s="10">
        <v>-1.3022</v>
      </c>
      <c r="D50" t="s">
        <v>136</v>
      </c>
      <c r="E50" s="15" t="s">
        <v>79</v>
      </c>
      <c r="F50" s="15">
        <v>8</v>
      </c>
      <c r="G50" s="15">
        <v>3</v>
      </c>
      <c r="H50" s="15">
        <v>24</v>
      </c>
      <c r="I50" s="15">
        <f>SUM(P50:BC50)</f>
        <v>20</v>
      </c>
      <c r="J50" s="15">
        <f>COUNTIF(P50:BC50,"&gt;0")</f>
        <v>5</v>
      </c>
      <c r="K50" s="15">
        <v>314</v>
      </c>
      <c r="L50" s="15" t="s">
        <v>103</v>
      </c>
      <c r="M50" s="15" t="s">
        <v>118</v>
      </c>
      <c r="N50" s="15" t="s">
        <v>75</v>
      </c>
      <c r="O50" s="15" t="s">
        <v>86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6</v>
      </c>
      <c r="AA50" s="15">
        <v>0</v>
      </c>
      <c r="AB50" s="15">
        <v>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7</v>
      </c>
      <c r="AZ50">
        <v>0</v>
      </c>
      <c r="BA50">
        <v>0</v>
      </c>
      <c r="BB50">
        <v>0</v>
      </c>
      <c r="BC50">
        <v>0</v>
      </c>
      <c r="BM50" s="19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</row>
    <row r="51" spans="1:115" x14ac:dyDescent="0.2">
      <c r="A51" s="15" t="s">
        <v>119</v>
      </c>
      <c r="B51" s="10">
        <v>51.818550000000002</v>
      </c>
      <c r="C51" s="10">
        <v>-1.2959670000000001</v>
      </c>
      <c r="D51" t="s">
        <v>136</v>
      </c>
      <c r="E51" s="15" t="s">
        <v>79</v>
      </c>
      <c r="F51" s="15">
        <v>8</v>
      </c>
      <c r="G51" s="15">
        <v>3</v>
      </c>
      <c r="H51" s="15">
        <v>24</v>
      </c>
      <c r="I51" s="15">
        <f>SUM(P51:BC51)</f>
        <v>14</v>
      </c>
      <c r="J51" s="15">
        <f>COUNTIF(P51:BC51,"&gt;0")</f>
        <v>5</v>
      </c>
      <c r="K51" s="15">
        <v>211</v>
      </c>
      <c r="L51" s="15" t="s">
        <v>74</v>
      </c>
      <c r="M51" s="15" t="s">
        <v>118</v>
      </c>
      <c r="N51" s="15" t="s">
        <v>89</v>
      </c>
      <c r="O51" s="15" t="s">
        <v>115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3</v>
      </c>
      <c r="AA51" s="15">
        <v>0</v>
      </c>
      <c r="AB51" s="15">
        <v>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M51" s="19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</row>
    <row r="52" spans="1:115" x14ac:dyDescent="0.2">
      <c r="A52" s="15" t="s">
        <v>120</v>
      </c>
      <c r="B52" s="10">
        <v>51.816716999999997</v>
      </c>
      <c r="C52" s="10">
        <v>-1.293917</v>
      </c>
      <c r="D52" t="s">
        <v>136</v>
      </c>
      <c r="E52" s="15" t="s">
        <v>79</v>
      </c>
      <c r="F52" s="15">
        <v>8</v>
      </c>
      <c r="G52" s="15">
        <v>2</v>
      </c>
      <c r="H52" s="15">
        <v>16</v>
      </c>
      <c r="I52" s="15">
        <f>SUM(P52:BC52)</f>
        <v>6</v>
      </c>
      <c r="J52" s="15">
        <f>COUNTIF(P52:BC52,"&gt;0")</f>
        <v>4</v>
      </c>
      <c r="K52" s="15">
        <v>174</v>
      </c>
      <c r="L52" s="15" t="s">
        <v>83</v>
      </c>
      <c r="M52" s="15" t="s">
        <v>89</v>
      </c>
      <c r="N52" s="15" t="s">
        <v>85</v>
      </c>
      <c r="O52" s="15" t="s">
        <v>121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1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M52" s="19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</row>
    <row r="53" spans="1:115" x14ac:dyDescent="0.2">
      <c r="A53" s="15" t="s">
        <v>122</v>
      </c>
      <c r="B53" s="10">
        <v>51.815533000000002</v>
      </c>
      <c r="C53" s="10">
        <v>-1.2947500000000001</v>
      </c>
      <c r="D53" t="s">
        <v>136</v>
      </c>
      <c r="E53" s="15" t="s">
        <v>73</v>
      </c>
      <c r="F53" s="15">
        <v>6</v>
      </c>
      <c r="G53" s="15">
        <v>3</v>
      </c>
      <c r="H53" s="15">
        <v>18</v>
      </c>
      <c r="I53" s="15">
        <f>SUM(P53:BC53)</f>
        <v>10</v>
      </c>
      <c r="J53" s="15">
        <f>COUNTIF(P53:BC53,"&gt;0")</f>
        <v>7</v>
      </c>
      <c r="K53" s="15">
        <v>350</v>
      </c>
      <c r="L53" s="15" t="s">
        <v>97</v>
      </c>
      <c r="M53" s="15" t="s">
        <v>89</v>
      </c>
      <c r="N53" s="15" t="s">
        <v>85</v>
      </c>
      <c r="O53" s="15" t="s">
        <v>121</v>
      </c>
      <c r="P53" s="15">
        <v>0</v>
      </c>
      <c r="Q53" s="15">
        <v>0</v>
      </c>
      <c r="R53" s="15">
        <v>0</v>
      </c>
      <c r="S53" s="15">
        <v>1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1</v>
      </c>
      <c r="AA53" s="15">
        <v>0</v>
      </c>
      <c r="AB53" s="15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</v>
      </c>
      <c r="AP53">
        <v>0</v>
      </c>
      <c r="AQ53">
        <v>0</v>
      </c>
      <c r="AR53">
        <v>0</v>
      </c>
      <c r="AS53">
        <v>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1</v>
      </c>
      <c r="BC53">
        <v>0</v>
      </c>
      <c r="BM53" s="19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</row>
    <row r="54" spans="1:115" x14ac:dyDescent="0.2">
      <c r="A54" s="15" t="s">
        <v>123</v>
      </c>
      <c r="B54" s="10">
        <v>51.815832999999998</v>
      </c>
      <c r="C54" s="10">
        <v>-1.29295</v>
      </c>
      <c r="D54" t="s">
        <v>136</v>
      </c>
      <c r="E54" s="15" t="s">
        <v>73</v>
      </c>
      <c r="F54" s="15">
        <v>6</v>
      </c>
      <c r="G54" s="15">
        <v>3</v>
      </c>
      <c r="H54" s="15">
        <v>18</v>
      </c>
      <c r="I54" s="15">
        <f>SUM(P54:BC54)</f>
        <v>70</v>
      </c>
      <c r="J54" s="15">
        <f>COUNTIF(P54:BC54,"&gt;0")</f>
        <v>8</v>
      </c>
      <c r="K54" s="15">
        <v>161</v>
      </c>
      <c r="L54" s="15" t="s">
        <v>124</v>
      </c>
      <c r="M54" s="15" t="s">
        <v>76</v>
      </c>
      <c r="N54" s="15" t="s">
        <v>85</v>
      </c>
      <c r="O54" s="15" t="s">
        <v>121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1</v>
      </c>
      <c r="W54" s="15">
        <v>0</v>
      </c>
      <c r="X54" s="15">
        <v>0</v>
      </c>
      <c r="Y54" s="15">
        <v>0</v>
      </c>
      <c r="Z54" s="15">
        <v>59</v>
      </c>
      <c r="AA54" s="15">
        <v>0</v>
      </c>
      <c r="AB54" s="15">
        <v>4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2</v>
      </c>
      <c r="BA54">
        <v>0</v>
      </c>
      <c r="BB54">
        <v>0</v>
      </c>
      <c r="BC54">
        <v>0</v>
      </c>
      <c r="BM54" s="19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</row>
    <row r="55" spans="1:115" x14ac:dyDescent="0.2">
      <c r="A55" s="15" t="s">
        <v>125</v>
      </c>
      <c r="B55" s="10">
        <v>51.815133000000003</v>
      </c>
      <c r="C55" s="10">
        <v>-1.2927</v>
      </c>
      <c r="D55" t="s">
        <v>136</v>
      </c>
      <c r="E55" s="15" t="s">
        <v>79</v>
      </c>
      <c r="F55" s="15">
        <v>8</v>
      </c>
      <c r="G55" s="15">
        <v>3</v>
      </c>
      <c r="H55" s="15">
        <v>24</v>
      </c>
      <c r="I55" s="15">
        <f>SUM(P55:BC55)</f>
        <v>16</v>
      </c>
      <c r="J55" s="15">
        <f>COUNTIF(P55:BC55,"&gt;0")</f>
        <v>6</v>
      </c>
      <c r="K55" s="15">
        <v>287</v>
      </c>
      <c r="L55" s="15" t="s">
        <v>92</v>
      </c>
      <c r="M55" s="15" t="s">
        <v>81</v>
      </c>
      <c r="N55" s="15" t="s">
        <v>89</v>
      </c>
      <c r="O55" s="15" t="s">
        <v>121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2</v>
      </c>
      <c r="W55" s="15">
        <v>0</v>
      </c>
      <c r="X55" s="15">
        <v>0</v>
      </c>
      <c r="Y55" s="15">
        <v>0</v>
      </c>
      <c r="Z55" s="15">
        <v>7</v>
      </c>
      <c r="AA55" s="15">
        <v>0</v>
      </c>
      <c r="AB55" s="15">
        <v>0</v>
      </c>
      <c r="AC55">
        <v>0</v>
      </c>
      <c r="AD55">
        <v>0</v>
      </c>
      <c r="AE55">
        <v>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M55" s="19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</row>
    <row r="56" spans="1:115" x14ac:dyDescent="0.2">
      <c r="A56" s="15" t="s">
        <v>126</v>
      </c>
      <c r="B56" s="10">
        <v>51.815100000000001</v>
      </c>
      <c r="C56" s="10">
        <v>-1.2924329999999999</v>
      </c>
      <c r="D56" t="s">
        <v>136</v>
      </c>
      <c r="E56" s="15" t="s">
        <v>79</v>
      </c>
      <c r="F56" s="15">
        <v>8</v>
      </c>
      <c r="G56" s="15">
        <v>3</v>
      </c>
      <c r="H56" s="15">
        <v>24</v>
      </c>
      <c r="I56" s="15">
        <f>SUM(P56:BC56)</f>
        <v>48</v>
      </c>
      <c r="J56" s="15">
        <f>COUNTIF(P56:BC56,"&gt;0")</f>
        <v>12</v>
      </c>
      <c r="K56" s="15">
        <v>117</v>
      </c>
      <c r="L56" s="15" t="s">
        <v>80</v>
      </c>
      <c r="M56" s="15" t="s">
        <v>81</v>
      </c>
      <c r="N56" s="15" t="s">
        <v>89</v>
      </c>
      <c r="O56" s="15" t="s">
        <v>113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1</v>
      </c>
      <c r="V56" s="15">
        <v>1</v>
      </c>
      <c r="W56" s="15">
        <v>0</v>
      </c>
      <c r="X56" s="15">
        <v>0</v>
      </c>
      <c r="Y56" s="15">
        <v>0</v>
      </c>
      <c r="Z56" s="15">
        <v>1</v>
      </c>
      <c r="AA56" s="15">
        <v>0</v>
      </c>
      <c r="AB56" s="15">
        <v>11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22</v>
      </c>
      <c r="AP56">
        <v>2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2</v>
      </c>
      <c r="BB56">
        <v>0</v>
      </c>
      <c r="BC56">
        <v>0</v>
      </c>
      <c r="BM56" s="19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</row>
    <row r="57" spans="1:115" x14ac:dyDescent="0.2">
      <c r="A57" s="15" t="s">
        <v>127</v>
      </c>
      <c r="B57" s="10">
        <v>51.812600000000003</v>
      </c>
      <c r="C57" s="10">
        <v>-1.293833</v>
      </c>
      <c r="D57" t="s">
        <v>136</v>
      </c>
      <c r="E57" s="15" t="s">
        <v>79</v>
      </c>
      <c r="F57" s="15">
        <v>8</v>
      </c>
      <c r="G57" s="15">
        <v>3</v>
      </c>
      <c r="H57" s="15">
        <v>24</v>
      </c>
      <c r="I57" s="15">
        <f>SUM(P57:BC57)</f>
        <v>19</v>
      </c>
      <c r="J57" s="15">
        <f>COUNTIF(P57:BC57,"&gt;0")</f>
        <v>9</v>
      </c>
      <c r="K57" s="15">
        <v>102</v>
      </c>
      <c r="L57" s="15" t="s">
        <v>88</v>
      </c>
      <c r="M57" s="15" t="s">
        <v>89</v>
      </c>
      <c r="N57" s="15" t="s">
        <v>75</v>
      </c>
      <c r="O57" s="15" t="s">
        <v>113</v>
      </c>
      <c r="P57" s="15">
        <v>0</v>
      </c>
      <c r="Q57" s="15">
        <v>0</v>
      </c>
      <c r="R57" s="15">
        <v>0</v>
      </c>
      <c r="S57" s="15">
        <v>1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1</v>
      </c>
      <c r="AA57" s="15">
        <v>0</v>
      </c>
      <c r="AB57" s="15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0</v>
      </c>
      <c r="AN57">
        <v>1</v>
      </c>
      <c r="AO57">
        <v>10</v>
      </c>
      <c r="AP57">
        <v>0</v>
      </c>
      <c r="AQ57">
        <v>0</v>
      </c>
      <c r="AR57">
        <v>0</v>
      </c>
      <c r="AS57">
        <v>2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M57" s="19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</row>
    <row r="58" spans="1:115" x14ac:dyDescent="0.2">
      <c r="A58" s="15" t="s">
        <v>128</v>
      </c>
      <c r="B58" s="10">
        <v>51.809583000000003</v>
      </c>
      <c r="C58" s="10">
        <v>-1.2956669999999999</v>
      </c>
      <c r="D58" t="s">
        <v>136</v>
      </c>
      <c r="E58" s="15" t="s">
        <v>79</v>
      </c>
      <c r="F58" s="15">
        <v>8</v>
      </c>
      <c r="G58" s="15">
        <v>3</v>
      </c>
      <c r="H58" s="15">
        <v>24</v>
      </c>
      <c r="I58" s="15">
        <f>SUM(P58:BC58)</f>
        <v>22</v>
      </c>
      <c r="J58" s="15">
        <f>COUNTIF(P58:BC58,"&gt;0")</f>
        <v>7</v>
      </c>
      <c r="K58" s="15">
        <v>98</v>
      </c>
      <c r="L58" s="15" t="s">
        <v>88</v>
      </c>
      <c r="M58" s="15" t="s">
        <v>75</v>
      </c>
      <c r="N58" s="15" t="s">
        <v>75</v>
      </c>
      <c r="O58" s="15" t="s">
        <v>113</v>
      </c>
      <c r="P58" s="15">
        <v>0</v>
      </c>
      <c r="Q58" s="15">
        <v>0</v>
      </c>
      <c r="R58" s="15">
        <v>0</v>
      </c>
      <c r="S58" s="15">
        <v>1</v>
      </c>
      <c r="T58" s="15">
        <v>0</v>
      </c>
      <c r="U58" s="15">
        <v>0</v>
      </c>
      <c r="V58" s="15">
        <v>1</v>
      </c>
      <c r="W58" s="15">
        <v>2</v>
      </c>
      <c r="X58" s="15">
        <v>0</v>
      </c>
      <c r="Y58" s="15">
        <v>0</v>
      </c>
      <c r="Z58" s="15">
        <v>4</v>
      </c>
      <c r="AA58" s="15">
        <v>0</v>
      </c>
      <c r="AB58" s="15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2</v>
      </c>
      <c r="BA58">
        <v>0</v>
      </c>
      <c r="BB58">
        <v>0</v>
      </c>
      <c r="BC58">
        <v>0</v>
      </c>
      <c r="BM58" s="19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</row>
    <row r="59" spans="1:115" x14ac:dyDescent="0.2">
      <c r="A59" s="15" t="s">
        <v>129</v>
      </c>
      <c r="B59" s="10">
        <v>51.807749999999999</v>
      </c>
      <c r="C59" s="10">
        <v>-1.29295</v>
      </c>
      <c r="D59" t="s">
        <v>136</v>
      </c>
      <c r="E59" s="15" t="s">
        <v>79</v>
      </c>
      <c r="F59" s="15">
        <v>8</v>
      </c>
      <c r="G59" s="15">
        <v>2</v>
      </c>
      <c r="H59" s="15">
        <v>16</v>
      </c>
      <c r="I59" s="15">
        <f>SUM(P59:BC59)</f>
        <v>13</v>
      </c>
      <c r="J59" s="15">
        <f>COUNTIF(P59:BC59,"&gt;0")</f>
        <v>7</v>
      </c>
      <c r="K59" s="15">
        <v>285</v>
      </c>
      <c r="L59" s="15" t="s">
        <v>92</v>
      </c>
      <c r="M59" s="15" t="s">
        <v>75</v>
      </c>
      <c r="N59" s="15" t="s">
        <v>89</v>
      </c>
      <c r="O59" s="15" t="s">
        <v>113</v>
      </c>
      <c r="P59" s="15">
        <v>0</v>
      </c>
      <c r="Q59" s="15">
        <v>0</v>
      </c>
      <c r="R59" s="15">
        <v>0</v>
      </c>
      <c r="S59" s="15">
        <v>1</v>
      </c>
      <c r="T59" s="15">
        <v>0</v>
      </c>
      <c r="U59" s="15">
        <v>1</v>
      </c>
      <c r="V59" s="15">
        <v>1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3</v>
      </c>
      <c r="BA59">
        <v>0</v>
      </c>
      <c r="BB59">
        <v>0</v>
      </c>
      <c r="BC59">
        <v>0</v>
      </c>
      <c r="BM59" s="19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</row>
    <row r="60" spans="1:115" x14ac:dyDescent="0.2">
      <c r="A60" s="15" t="s">
        <v>130</v>
      </c>
      <c r="B60" s="10">
        <v>51.808599999999998</v>
      </c>
      <c r="C60" s="10">
        <v>-1.288683</v>
      </c>
      <c r="D60" t="s">
        <v>136</v>
      </c>
      <c r="E60" s="15" t="s">
        <v>73</v>
      </c>
      <c r="F60" s="15">
        <v>6</v>
      </c>
      <c r="G60" s="15">
        <v>3</v>
      </c>
      <c r="H60" s="15">
        <v>18</v>
      </c>
      <c r="I60" s="15">
        <f>SUM(P60:BC60)</f>
        <v>10</v>
      </c>
      <c r="J60" s="15">
        <f>COUNTIF(P60:BC60,"&gt;0")</f>
        <v>4</v>
      </c>
      <c r="K60" s="15">
        <v>274</v>
      </c>
      <c r="L60" s="15" t="s">
        <v>92</v>
      </c>
      <c r="M60" s="15" t="s">
        <v>76</v>
      </c>
      <c r="N60" s="15" t="s">
        <v>89</v>
      </c>
      <c r="O60" s="15" t="s">
        <v>113</v>
      </c>
      <c r="P60" s="15">
        <v>0</v>
      </c>
      <c r="Q60" s="15">
        <v>0</v>
      </c>
      <c r="R60" s="15">
        <v>0</v>
      </c>
      <c r="S60" s="15">
        <v>1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1</v>
      </c>
      <c r="AA60" s="15">
        <v>0</v>
      </c>
      <c r="AB60" s="15">
        <v>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M60" s="19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</row>
    <row r="61" spans="1:115" x14ac:dyDescent="0.2">
      <c r="A61" s="15" t="s">
        <v>131</v>
      </c>
      <c r="B61" s="10">
        <v>51.811216999999999</v>
      </c>
      <c r="C61" s="10">
        <v>-1.2882830000000001</v>
      </c>
      <c r="D61" t="s">
        <v>136</v>
      </c>
      <c r="E61" s="15" t="s">
        <v>73</v>
      </c>
      <c r="F61" s="15">
        <v>6</v>
      </c>
      <c r="G61" s="15">
        <v>3</v>
      </c>
      <c r="H61" s="15">
        <v>18</v>
      </c>
      <c r="I61" s="15">
        <f>SUM(P61:BC61)</f>
        <v>7</v>
      </c>
      <c r="J61" s="15">
        <f>COUNTIF(P61:BC61,"&gt;0")</f>
        <v>4</v>
      </c>
      <c r="K61" s="15">
        <v>278</v>
      </c>
      <c r="L61" s="15" t="s">
        <v>92</v>
      </c>
      <c r="M61" s="15" t="s">
        <v>76</v>
      </c>
      <c r="N61" s="15" t="s">
        <v>75</v>
      </c>
      <c r="O61" s="15" t="s">
        <v>113</v>
      </c>
      <c r="P61" s="15">
        <v>0</v>
      </c>
      <c r="Q61" s="15">
        <v>0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1</v>
      </c>
      <c r="AA61" s="15">
        <v>0</v>
      </c>
      <c r="AB61" s="15">
        <v>4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M61" s="19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</row>
    <row r="62" spans="1:115" x14ac:dyDescent="0.2">
      <c r="A62" s="15" t="s">
        <v>72</v>
      </c>
      <c r="B62" s="10">
        <v>51.822099999999999</v>
      </c>
      <c r="C62" s="10">
        <v>-1.2992330000000001</v>
      </c>
      <c r="D62" t="s">
        <v>137</v>
      </c>
      <c r="E62" s="15" t="s">
        <v>73</v>
      </c>
      <c r="F62" s="15">
        <v>6</v>
      </c>
      <c r="G62" s="15">
        <v>3</v>
      </c>
      <c r="H62" s="15">
        <v>18</v>
      </c>
      <c r="I62" s="15">
        <f>SUM(P62:BC62)</f>
        <v>33</v>
      </c>
      <c r="J62" s="15">
        <f>COUNTIF(P62:BC62,"&gt;0")</f>
        <v>4</v>
      </c>
      <c r="K62" s="20">
        <v>225</v>
      </c>
      <c r="L62" s="15" t="s">
        <v>74</v>
      </c>
      <c r="M62" s="15" t="s">
        <v>75</v>
      </c>
      <c r="N62" s="15" t="s">
        <v>76</v>
      </c>
      <c r="O62" s="15" t="s">
        <v>77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26</v>
      </c>
      <c r="AA62" s="15">
        <v>0</v>
      </c>
      <c r="AB62" s="15">
        <v>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M62" s="19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</row>
    <row r="63" spans="1:115" x14ac:dyDescent="0.2">
      <c r="A63" s="15" t="s">
        <v>78</v>
      </c>
      <c r="B63" s="10">
        <v>51.822516999999998</v>
      </c>
      <c r="C63" s="10">
        <v>-1.3022499999999999</v>
      </c>
      <c r="D63" t="s">
        <v>137</v>
      </c>
      <c r="E63" s="15" t="s">
        <v>79</v>
      </c>
      <c r="F63" s="15">
        <v>8</v>
      </c>
      <c r="G63" s="15">
        <v>3</v>
      </c>
      <c r="H63" s="15">
        <v>24</v>
      </c>
      <c r="I63" s="15">
        <f>SUM(P63:BC63)</f>
        <v>55</v>
      </c>
      <c r="J63" s="15">
        <f>COUNTIF(P63:BC63,"&gt;0")</f>
        <v>8</v>
      </c>
      <c r="K63" s="15">
        <v>150</v>
      </c>
      <c r="L63" s="15" t="s">
        <v>80</v>
      </c>
      <c r="M63" s="15" t="s">
        <v>81</v>
      </c>
      <c r="N63" s="15" t="s">
        <v>75</v>
      </c>
      <c r="O63" s="15" t="s">
        <v>77</v>
      </c>
      <c r="P63" s="15">
        <v>0</v>
      </c>
      <c r="Q63" s="15">
        <v>0</v>
      </c>
      <c r="R63" s="15">
        <v>0</v>
      </c>
      <c r="S63" s="15">
        <v>7</v>
      </c>
      <c r="T63" s="15">
        <v>0</v>
      </c>
      <c r="U63" s="15">
        <v>1</v>
      </c>
      <c r="V63" s="15">
        <v>1</v>
      </c>
      <c r="W63" s="15">
        <v>0</v>
      </c>
      <c r="X63" s="15">
        <v>0</v>
      </c>
      <c r="Y63" s="15">
        <v>0</v>
      </c>
      <c r="Z63" s="15">
        <v>28</v>
      </c>
      <c r="AA63" s="15">
        <v>0</v>
      </c>
      <c r="AB63" s="15">
        <v>11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M63" s="19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</row>
    <row r="64" spans="1:115" x14ac:dyDescent="0.2">
      <c r="A64" s="15" t="s">
        <v>82</v>
      </c>
      <c r="B64" s="10">
        <v>51.823616999999999</v>
      </c>
      <c r="C64" s="10">
        <v>-1.3056000000000001</v>
      </c>
      <c r="D64" t="s">
        <v>137</v>
      </c>
      <c r="E64" s="15" t="s">
        <v>73</v>
      </c>
      <c r="F64" s="15">
        <v>6</v>
      </c>
      <c r="G64" s="15">
        <v>3</v>
      </c>
      <c r="H64" s="15">
        <v>18</v>
      </c>
      <c r="I64" s="15">
        <f>SUM(P64:BC64)</f>
        <v>51</v>
      </c>
      <c r="J64" s="15">
        <f>COUNTIF(P64:BC64,"&gt;0")</f>
        <v>7</v>
      </c>
      <c r="K64" s="15">
        <v>179</v>
      </c>
      <c r="L64" s="15" t="s">
        <v>83</v>
      </c>
      <c r="M64" s="15" t="s">
        <v>84</v>
      </c>
      <c r="N64" s="15" t="s">
        <v>85</v>
      </c>
      <c r="O64" s="15" t="s">
        <v>86</v>
      </c>
      <c r="P64" s="15">
        <v>0</v>
      </c>
      <c r="Q64" s="15">
        <v>0</v>
      </c>
      <c r="R64" s="15">
        <v>0</v>
      </c>
      <c r="S64" s="15">
        <v>4</v>
      </c>
      <c r="T64" s="15">
        <v>0</v>
      </c>
      <c r="U64" s="15">
        <v>0</v>
      </c>
      <c r="V64" s="15">
        <v>1</v>
      </c>
      <c r="W64" s="15">
        <v>0</v>
      </c>
      <c r="X64" s="15">
        <v>0</v>
      </c>
      <c r="Y64" s="15">
        <v>0</v>
      </c>
      <c r="Z64" s="15">
        <v>32</v>
      </c>
      <c r="AA64" s="15">
        <v>0</v>
      </c>
      <c r="AB64" s="15">
        <v>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7</v>
      </c>
      <c r="AP64">
        <v>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M64" s="19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</row>
    <row r="65" spans="1:115" x14ac:dyDescent="0.2">
      <c r="A65" s="15" t="s">
        <v>87</v>
      </c>
      <c r="B65" s="10">
        <v>51.822032999999998</v>
      </c>
      <c r="C65" s="10">
        <v>-1.30945</v>
      </c>
      <c r="D65" t="s">
        <v>137</v>
      </c>
      <c r="E65" s="15" t="s">
        <v>73</v>
      </c>
      <c r="F65" s="15">
        <v>6</v>
      </c>
      <c r="G65" s="15">
        <v>3</v>
      </c>
      <c r="H65" s="15">
        <v>18</v>
      </c>
      <c r="I65" s="15">
        <f>SUM(P65:BC65)</f>
        <v>21</v>
      </c>
      <c r="J65" s="15">
        <f>COUNTIF(P65:BC65,"&gt;0")</f>
        <v>9</v>
      </c>
      <c r="K65" s="15">
        <v>88</v>
      </c>
      <c r="L65" s="15" t="s">
        <v>88</v>
      </c>
      <c r="M65" s="15" t="s">
        <v>81</v>
      </c>
      <c r="N65" s="15" t="s">
        <v>89</v>
      </c>
      <c r="O65" s="15" t="s">
        <v>86</v>
      </c>
      <c r="P65" s="15">
        <v>0</v>
      </c>
      <c r="Q65" s="15">
        <v>0</v>
      </c>
      <c r="R65" s="15">
        <v>0</v>
      </c>
      <c r="S65" s="15">
        <v>4</v>
      </c>
      <c r="T65" s="15">
        <v>0</v>
      </c>
      <c r="U65" s="15">
        <v>1</v>
      </c>
      <c r="V65" s="15">
        <v>1</v>
      </c>
      <c r="W65" s="15">
        <v>1</v>
      </c>
      <c r="X65" s="15">
        <v>0</v>
      </c>
      <c r="Y65" s="15">
        <v>0</v>
      </c>
      <c r="Z65" s="15">
        <v>3</v>
      </c>
      <c r="AA65" s="15">
        <v>0</v>
      </c>
      <c r="AB65" s="15">
        <v>7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M65" s="19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</row>
    <row r="66" spans="1:115" x14ac:dyDescent="0.2">
      <c r="A66" s="15" t="s">
        <v>90</v>
      </c>
      <c r="B66" s="10">
        <v>51.820900000000002</v>
      </c>
      <c r="C66" s="10">
        <v>-1.3093669999999999</v>
      </c>
      <c r="D66" t="s">
        <v>137</v>
      </c>
      <c r="E66" s="15" t="s">
        <v>91</v>
      </c>
      <c r="F66" s="15">
        <v>2</v>
      </c>
      <c r="G66" s="15">
        <v>2</v>
      </c>
      <c r="H66" s="15">
        <v>4</v>
      </c>
      <c r="I66" s="15">
        <f>SUM(P66:BC66)</f>
        <v>13</v>
      </c>
      <c r="J66" s="15">
        <f>COUNTIF(P66:BC66,"&gt;0")</f>
        <v>4</v>
      </c>
      <c r="K66" s="15">
        <v>255</v>
      </c>
      <c r="L66" s="15" t="s">
        <v>92</v>
      </c>
      <c r="M66" s="15" t="s">
        <v>85</v>
      </c>
      <c r="N66" s="15" t="s">
        <v>84</v>
      </c>
      <c r="O66" s="15" t="s">
        <v>86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1</v>
      </c>
      <c r="AA66" s="15">
        <v>0</v>
      </c>
      <c r="AB66" s="15">
        <v>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M66" s="19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</row>
    <row r="67" spans="1:115" x14ac:dyDescent="0.2">
      <c r="A67" s="15" t="s">
        <v>93</v>
      </c>
      <c r="B67" s="10">
        <v>51.818367000000002</v>
      </c>
      <c r="C67" s="10">
        <v>-1.3125830000000001</v>
      </c>
      <c r="D67" t="s">
        <v>137</v>
      </c>
      <c r="E67" s="15" t="s">
        <v>73</v>
      </c>
      <c r="F67" s="15">
        <v>6</v>
      </c>
      <c r="G67" s="15">
        <v>2</v>
      </c>
      <c r="H67" s="15">
        <v>12</v>
      </c>
      <c r="I67" s="15">
        <f>SUM(P67:BC67)</f>
        <v>20</v>
      </c>
      <c r="J67" s="15">
        <f>COUNTIF(P67:BC67,"&gt;0")</f>
        <v>3</v>
      </c>
      <c r="K67" s="15">
        <v>255</v>
      </c>
      <c r="L67" s="15" t="s">
        <v>92</v>
      </c>
      <c r="M67" s="15" t="s">
        <v>75</v>
      </c>
      <c r="N67" s="15" t="s">
        <v>85</v>
      </c>
      <c r="O67" s="15" t="s">
        <v>94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7</v>
      </c>
      <c r="AA67" s="15">
        <v>0</v>
      </c>
      <c r="AB67" s="15">
        <v>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M67" s="19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</row>
    <row r="68" spans="1:115" x14ac:dyDescent="0.2">
      <c r="A68" s="15" t="s">
        <v>95</v>
      </c>
      <c r="B68" s="10">
        <v>51.817667</v>
      </c>
      <c r="C68" s="10">
        <v>-1.314683</v>
      </c>
      <c r="D68" t="s">
        <v>137</v>
      </c>
      <c r="E68" s="15" t="s">
        <v>96</v>
      </c>
      <c r="F68" s="15">
        <v>4</v>
      </c>
      <c r="G68" s="15">
        <v>3</v>
      </c>
      <c r="H68" s="15">
        <v>12</v>
      </c>
      <c r="I68" s="15">
        <f t="shared" ref="I68:I91" si="0">SUM(P68:BC68)</f>
        <v>22</v>
      </c>
      <c r="J68" s="15">
        <f>COUNTIF(P68:BC68,"&gt;0")</f>
        <v>4</v>
      </c>
      <c r="K68" s="15">
        <v>2</v>
      </c>
      <c r="L68" s="15" t="s">
        <v>97</v>
      </c>
      <c r="M68" s="15" t="s">
        <v>84</v>
      </c>
      <c r="N68" s="15" t="s">
        <v>84</v>
      </c>
      <c r="O68" s="15" t="s">
        <v>94</v>
      </c>
      <c r="P68" s="15">
        <v>0</v>
      </c>
      <c r="Q68" s="15">
        <v>0</v>
      </c>
      <c r="R68" s="15">
        <v>0</v>
      </c>
      <c r="S68" s="15">
        <v>1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11</v>
      </c>
      <c r="AA68" s="15">
        <v>0</v>
      </c>
      <c r="AB68" s="15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M68" s="19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</row>
    <row r="69" spans="1:115" x14ac:dyDescent="0.2">
      <c r="A69" s="15" t="s">
        <v>98</v>
      </c>
      <c r="B69" s="10">
        <v>51.817332999999998</v>
      </c>
      <c r="C69" s="10">
        <v>-1.3145</v>
      </c>
      <c r="D69" t="s">
        <v>137</v>
      </c>
      <c r="E69" s="15" t="s">
        <v>73</v>
      </c>
      <c r="F69" s="15">
        <v>6</v>
      </c>
      <c r="G69" s="15">
        <v>3</v>
      </c>
      <c r="H69" s="15">
        <v>18</v>
      </c>
      <c r="I69" s="15">
        <f t="shared" si="0"/>
        <v>61</v>
      </c>
      <c r="J69" s="15">
        <f>COUNTIF(P69:BC69,"&gt;0")</f>
        <v>7</v>
      </c>
      <c r="K69" s="15">
        <v>171</v>
      </c>
      <c r="L69" s="15" t="s">
        <v>83</v>
      </c>
      <c r="M69" s="15" t="s">
        <v>81</v>
      </c>
      <c r="N69" s="15" t="s">
        <v>89</v>
      </c>
      <c r="O69" s="15" t="s">
        <v>99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2</v>
      </c>
      <c r="W69" s="15">
        <v>0</v>
      </c>
      <c r="X69" s="15">
        <v>0</v>
      </c>
      <c r="Y69" s="15">
        <v>0</v>
      </c>
      <c r="Z69" s="15">
        <v>8</v>
      </c>
      <c r="AA69" s="15">
        <v>0</v>
      </c>
      <c r="AB69" s="15">
        <v>43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M69" s="19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</row>
    <row r="70" spans="1:115" x14ac:dyDescent="0.2">
      <c r="A70" s="22" t="s">
        <v>100</v>
      </c>
      <c r="B70" s="10">
        <v>51.816682999999998</v>
      </c>
      <c r="C70" s="10">
        <v>-1.31325</v>
      </c>
      <c r="D70" t="s">
        <v>137</v>
      </c>
      <c r="E70" s="15" t="s">
        <v>73</v>
      </c>
      <c r="F70" s="15">
        <v>6</v>
      </c>
      <c r="G70" s="15">
        <v>2</v>
      </c>
      <c r="H70" s="15">
        <v>12</v>
      </c>
      <c r="I70" s="15">
        <f t="shared" si="0"/>
        <v>0</v>
      </c>
      <c r="J70" s="15">
        <f>COUNTIF(P70:BC70,"&gt;0")</f>
        <v>0</v>
      </c>
      <c r="K70" s="15">
        <v>268</v>
      </c>
      <c r="L70" s="15" t="s">
        <v>92</v>
      </c>
      <c r="M70" s="15" t="s">
        <v>75</v>
      </c>
      <c r="N70" s="15" t="s">
        <v>89</v>
      </c>
      <c r="O70" s="15" t="s">
        <v>94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M70" s="19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</row>
    <row r="71" spans="1:115" x14ac:dyDescent="0.2">
      <c r="A71" s="15" t="s">
        <v>101</v>
      </c>
      <c r="B71" s="10">
        <v>51.815100000000001</v>
      </c>
      <c r="C71" s="10">
        <v>-1.313367</v>
      </c>
      <c r="D71" t="s">
        <v>137</v>
      </c>
      <c r="E71" s="15" t="s">
        <v>102</v>
      </c>
      <c r="F71" s="15">
        <v>1</v>
      </c>
      <c r="G71" s="15">
        <v>3</v>
      </c>
      <c r="H71" s="15">
        <v>3</v>
      </c>
      <c r="I71" s="15">
        <f t="shared" si="0"/>
        <v>4</v>
      </c>
      <c r="J71" s="15">
        <f>COUNTIF(P71:BC71,"&gt;0")</f>
        <v>4</v>
      </c>
      <c r="K71" s="15">
        <v>333</v>
      </c>
      <c r="L71" s="15" t="s">
        <v>103</v>
      </c>
      <c r="M71" s="15" t="s">
        <v>104</v>
      </c>
      <c r="N71" s="15" t="s">
        <v>84</v>
      </c>
      <c r="O71" s="15" t="s">
        <v>94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M71" s="19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</row>
    <row r="72" spans="1:115" x14ac:dyDescent="0.2">
      <c r="A72" s="15" t="s">
        <v>105</v>
      </c>
      <c r="B72" s="10">
        <v>51.817749999999997</v>
      </c>
      <c r="C72" s="10">
        <v>-1.310883</v>
      </c>
      <c r="D72" t="s">
        <v>137</v>
      </c>
      <c r="E72" s="15" t="s">
        <v>96</v>
      </c>
      <c r="F72" s="15">
        <v>4</v>
      </c>
      <c r="G72" s="15">
        <v>3</v>
      </c>
      <c r="H72" s="15">
        <v>12</v>
      </c>
      <c r="I72" s="15">
        <f t="shared" si="0"/>
        <v>14</v>
      </c>
      <c r="J72" s="15">
        <f>COUNTIF(P72:BC72,"&gt;0")</f>
        <v>4</v>
      </c>
      <c r="K72" s="15">
        <v>0</v>
      </c>
      <c r="L72" s="15" t="s">
        <v>97</v>
      </c>
      <c r="M72" s="15" t="s">
        <v>85</v>
      </c>
      <c r="N72" s="15" t="s">
        <v>84</v>
      </c>
      <c r="O72" s="15" t="s">
        <v>94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3</v>
      </c>
      <c r="AA72" s="15">
        <v>0</v>
      </c>
      <c r="AB72" s="15">
        <v>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M72" s="19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</row>
    <row r="73" spans="1:115" x14ac:dyDescent="0.2">
      <c r="A73" s="15" t="s">
        <v>106</v>
      </c>
      <c r="B73" s="10">
        <v>51.816133000000001</v>
      </c>
      <c r="C73" s="10">
        <v>-1.3091330000000001</v>
      </c>
      <c r="D73" t="s">
        <v>137</v>
      </c>
      <c r="E73" s="15" t="s">
        <v>96</v>
      </c>
      <c r="F73" s="15">
        <v>4</v>
      </c>
      <c r="G73" s="15">
        <v>3</v>
      </c>
      <c r="H73" s="15">
        <v>12</v>
      </c>
      <c r="I73" s="15">
        <f t="shared" si="0"/>
        <v>17</v>
      </c>
      <c r="J73" s="15">
        <f>COUNTIF(P73:BC73,"&gt;0")</f>
        <v>1</v>
      </c>
      <c r="K73" s="15">
        <v>358</v>
      </c>
      <c r="L73" s="15" t="s">
        <v>97</v>
      </c>
      <c r="M73" s="15" t="s">
        <v>85</v>
      </c>
      <c r="N73" s="15" t="s">
        <v>85</v>
      </c>
      <c r="O73" s="15" t="s">
        <v>94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17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M73" s="19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</row>
    <row r="74" spans="1:115" x14ac:dyDescent="0.2">
      <c r="A74" s="15" t="s">
        <v>107</v>
      </c>
      <c r="B74" s="10">
        <v>51.815100000000001</v>
      </c>
      <c r="C74" s="10">
        <v>-1.307833</v>
      </c>
      <c r="D74" t="s">
        <v>137</v>
      </c>
      <c r="E74" s="15" t="s">
        <v>96</v>
      </c>
      <c r="F74" s="15">
        <v>4</v>
      </c>
      <c r="G74" s="15">
        <v>3</v>
      </c>
      <c r="H74" s="15">
        <v>12</v>
      </c>
      <c r="I74" s="15">
        <f t="shared" si="0"/>
        <v>14</v>
      </c>
      <c r="J74" s="15">
        <f>COUNTIF(P74:BC74,"&gt;0")</f>
        <v>7</v>
      </c>
      <c r="K74" s="15">
        <v>4</v>
      </c>
      <c r="L74" s="15" t="s">
        <v>97</v>
      </c>
      <c r="M74" s="15" t="s">
        <v>84</v>
      </c>
      <c r="N74" s="15" t="s">
        <v>84</v>
      </c>
      <c r="O74" s="15" t="s">
        <v>108</v>
      </c>
      <c r="P74" s="15">
        <v>0</v>
      </c>
      <c r="Q74" s="15">
        <v>0</v>
      </c>
      <c r="R74" s="15">
        <v>0</v>
      </c>
      <c r="S74" s="15">
        <v>1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2</v>
      </c>
      <c r="AA74" s="15">
        <v>0</v>
      </c>
      <c r="AB74" s="15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5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2</v>
      </c>
      <c r="BA74">
        <v>0</v>
      </c>
      <c r="BB74">
        <v>0</v>
      </c>
      <c r="BC74">
        <v>0</v>
      </c>
      <c r="BM74" s="19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</row>
    <row r="75" spans="1:115" x14ac:dyDescent="0.2">
      <c r="A75" s="15" t="s">
        <v>109</v>
      </c>
      <c r="B75" s="10">
        <v>51.816766999999999</v>
      </c>
      <c r="C75" s="10">
        <v>-1.3060499999999999</v>
      </c>
      <c r="D75" t="s">
        <v>137</v>
      </c>
      <c r="E75" s="15" t="s">
        <v>110</v>
      </c>
      <c r="F75" s="15">
        <v>2</v>
      </c>
      <c r="G75" s="15">
        <v>2</v>
      </c>
      <c r="H75" s="15">
        <v>4</v>
      </c>
      <c r="I75" s="15">
        <f t="shared" si="0"/>
        <v>16</v>
      </c>
      <c r="J75" s="15">
        <f>COUNTIF(P75:BC75,"&gt;0")</f>
        <v>4</v>
      </c>
      <c r="K75" s="15">
        <v>268</v>
      </c>
      <c r="L75" s="15" t="s">
        <v>92</v>
      </c>
      <c r="M75" s="15" t="s">
        <v>104</v>
      </c>
      <c r="N75" s="15" t="s">
        <v>104</v>
      </c>
      <c r="O75" s="15" t="s">
        <v>99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1</v>
      </c>
      <c r="Y75" s="15">
        <v>0</v>
      </c>
      <c r="Z75" s="15">
        <v>6</v>
      </c>
      <c r="AA75" s="15">
        <v>0</v>
      </c>
      <c r="AB75" s="15">
        <v>4</v>
      </c>
      <c r="AC75">
        <v>0</v>
      </c>
      <c r="AD75">
        <v>0</v>
      </c>
      <c r="AE75">
        <v>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M75" s="19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</row>
    <row r="76" spans="1:115" x14ac:dyDescent="0.2">
      <c r="A76" s="15" t="s">
        <v>111</v>
      </c>
      <c r="B76" s="10">
        <v>51.816682999999998</v>
      </c>
      <c r="C76" s="10">
        <v>-1.305917</v>
      </c>
      <c r="D76" t="s">
        <v>137</v>
      </c>
      <c r="E76" s="15" t="s">
        <v>110</v>
      </c>
      <c r="F76" s="15">
        <v>2</v>
      </c>
      <c r="G76" s="15">
        <v>2</v>
      </c>
      <c r="H76" s="15">
        <v>4</v>
      </c>
      <c r="I76" s="15">
        <f t="shared" si="0"/>
        <v>30</v>
      </c>
      <c r="J76" s="15">
        <f>COUNTIF(P76:BC76,"&gt;0")</f>
        <v>7</v>
      </c>
      <c r="K76" s="15">
        <v>84</v>
      </c>
      <c r="L76" s="15" t="s">
        <v>88</v>
      </c>
      <c r="M76" s="15" t="s">
        <v>104</v>
      </c>
      <c r="N76" s="15" t="s">
        <v>104</v>
      </c>
      <c r="O76" s="15" t="s">
        <v>99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2</v>
      </c>
      <c r="X76" s="15">
        <v>0</v>
      </c>
      <c r="Y76" s="15">
        <v>0</v>
      </c>
      <c r="Z76" s="15">
        <v>16</v>
      </c>
      <c r="AA76" s="15">
        <v>0</v>
      </c>
      <c r="AB76" s="15">
        <v>1</v>
      </c>
      <c r="AC76">
        <v>1</v>
      </c>
      <c r="AD76">
        <v>0</v>
      </c>
      <c r="AE76">
        <v>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M76" s="19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</row>
    <row r="77" spans="1:115" x14ac:dyDescent="0.2">
      <c r="A77" s="15" t="s">
        <v>112</v>
      </c>
      <c r="B77" s="10">
        <v>51.815632999999998</v>
      </c>
      <c r="C77" s="10">
        <v>-1.2991999999999999</v>
      </c>
      <c r="D77" t="s">
        <v>137</v>
      </c>
      <c r="E77" s="15" t="s">
        <v>96</v>
      </c>
      <c r="F77" s="15">
        <v>4</v>
      </c>
      <c r="G77" s="15">
        <v>3</v>
      </c>
      <c r="H77" s="15">
        <v>12</v>
      </c>
      <c r="I77" s="15">
        <f t="shared" si="0"/>
        <v>54</v>
      </c>
      <c r="J77" s="15">
        <f>COUNTIF(P77:BC77,"&gt;0")</f>
        <v>9</v>
      </c>
      <c r="K77" s="15">
        <v>179</v>
      </c>
      <c r="L77" s="15" t="s">
        <v>83</v>
      </c>
      <c r="M77" s="15" t="s">
        <v>84</v>
      </c>
      <c r="N77" s="15" t="s">
        <v>85</v>
      </c>
      <c r="O77" s="15" t="s">
        <v>113</v>
      </c>
      <c r="P77" s="15">
        <v>0</v>
      </c>
      <c r="Q77" s="15">
        <v>0</v>
      </c>
      <c r="R77" s="15">
        <v>0</v>
      </c>
      <c r="S77" s="15">
        <v>2</v>
      </c>
      <c r="T77" s="15">
        <v>0</v>
      </c>
      <c r="U77" s="15">
        <v>0</v>
      </c>
      <c r="V77" s="15">
        <v>1</v>
      </c>
      <c r="W77" s="15">
        <v>0</v>
      </c>
      <c r="X77" s="15">
        <v>0</v>
      </c>
      <c r="Y77" s="15">
        <v>0</v>
      </c>
      <c r="Z77" s="15">
        <v>42</v>
      </c>
      <c r="AA77" s="15">
        <v>0</v>
      </c>
      <c r="AB77" s="15">
        <v>3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2</v>
      </c>
      <c r="AP77">
        <v>1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M77" s="19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</row>
    <row r="78" spans="1:115" x14ac:dyDescent="0.2">
      <c r="A78" s="15" t="s">
        <v>114</v>
      </c>
      <c r="B78" s="10">
        <v>51.815617000000003</v>
      </c>
      <c r="C78" s="10">
        <v>-1.3024169999999999</v>
      </c>
      <c r="D78" t="s">
        <v>137</v>
      </c>
      <c r="E78" s="15" t="s">
        <v>73</v>
      </c>
      <c r="F78" s="15">
        <v>6</v>
      </c>
      <c r="G78" s="15">
        <v>3</v>
      </c>
      <c r="H78" s="15">
        <v>18</v>
      </c>
      <c r="I78" s="15">
        <f t="shared" si="0"/>
        <v>41</v>
      </c>
      <c r="J78" s="15">
        <f>COUNTIF(P78:BC78,"&gt;0")</f>
        <v>5</v>
      </c>
      <c r="K78" s="15">
        <v>182</v>
      </c>
      <c r="L78" s="15" t="s">
        <v>83</v>
      </c>
      <c r="M78" s="15" t="s">
        <v>85</v>
      </c>
      <c r="N78" s="15" t="s">
        <v>85</v>
      </c>
      <c r="O78" s="15" t="s">
        <v>115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14</v>
      </c>
      <c r="AA78" s="15">
        <v>1</v>
      </c>
      <c r="AB78" s="15">
        <v>22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M78" s="19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</row>
    <row r="79" spans="1:115" x14ac:dyDescent="0.2">
      <c r="A79" s="15" t="s">
        <v>116</v>
      </c>
      <c r="B79" s="10">
        <v>51.813732999999999</v>
      </c>
      <c r="C79" s="10">
        <v>-1.3007169999999999</v>
      </c>
      <c r="D79" t="s">
        <v>137</v>
      </c>
      <c r="E79" s="15" t="s">
        <v>96</v>
      </c>
      <c r="F79" s="15">
        <v>4</v>
      </c>
      <c r="G79" s="15">
        <v>2</v>
      </c>
      <c r="H79" s="15">
        <v>8</v>
      </c>
      <c r="I79" s="15">
        <f t="shared" si="0"/>
        <v>32</v>
      </c>
      <c r="J79" s="15">
        <f>COUNTIF(P79:BC79,"&gt;0")</f>
        <v>7</v>
      </c>
      <c r="K79" s="15">
        <v>165</v>
      </c>
      <c r="L79" s="15" t="s">
        <v>83</v>
      </c>
      <c r="M79" s="15" t="s">
        <v>76</v>
      </c>
      <c r="N79" s="15" t="s">
        <v>84</v>
      </c>
      <c r="O79" s="15" t="s">
        <v>86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1</v>
      </c>
      <c r="Z79" s="15">
        <v>6</v>
      </c>
      <c r="AA79" s="15">
        <v>0</v>
      </c>
      <c r="AB79" s="15">
        <v>21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M79" s="19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</row>
    <row r="80" spans="1:115" x14ac:dyDescent="0.2">
      <c r="A80" s="15" t="s">
        <v>117</v>
      </c>
      <c r="B80" s="10">
        <v>51.810867000000002</v>
      </c>
      <c r="C80" s="10">
        <v>-1.3022</v>
      </c>
      <c r="D80" t="s">
        <v>137</v>
      </c>
      <c r="E80" s="15" t="s">
        <v>79</v>
      </c>
      <c r="F80" s="15">
        <v>8</v>
      </c>
      <c r="G80" s="15">
        <v>3</v>
      </c>
      <c r="H80" s="15">
        <v>24</v>
      </c>
      <c r="I80" s="15">
        <f t="shared" si="0"/>
        <v>13</v>
      </c>
      <c r="J80" s="15">
        <f>COUNTIF(P80:BC80,"&gt;0")</f>
        <v>3</v>
      </c>
      <c r="K80" s="15">
        <v>314</v>
      </c>
      <c r="L80" s="15" t="s">
        <v>103</v>
      </c>
      <c r="M80" s="15" t="s">
        <v>118</v>
      </c>
      <c r="N80" s="15" t="s">
        <v>75</v>
      </c>
      <c r="O80" s="15" t="s">
        <v>86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1</v>
      </c>
      <c r="AA80" s="15">
        <v>0</v>
      </c>
      <c r="AB80" s="15">
        <v>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M80" s="19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</row>
    <row r="81" spans="1:115" x14ac:dyDescent="0.2">
      <c r="A81" s="22" t="s">
        <v>119</v>
      </c>
      <c r="B81" s="10">
        <v>51.818550000000002</v>
      </c>
      <c r="C81" s="10">
        <v>-1.2959670000000001</v>
      </c>
      <c r="D81" t="s">
        <v>137</v>
      </c>
      <c r="E81" s="15" t="s">
        <v>79</v>
      </c>
      <c r="F81" s="15">
        <v>8</v>
      </c>
      <c r="G81" s="15">
        <v>3</v>
      </c>
      <c r="H81" s="15">
        <v>24</v>
      </c>
      <c r="I81" s="15">
        <f t="shared" si="0"/>
        <v>0</v>
      </c>
      <c r="J81" s="15">
        <f>COUNTIF(P81:BC81,"&gt;0")</f>
        <v>0</v>
      </c>
      <c r="K81" s="15">
        <v>211</v>
      </c>
      <c r="L81" s="15" t="s">
        <v>74</v>
      </c>
      <c r="M81" s="15" t="s">
        <v>118</v>
      </c>
      <c r="N81" s="15" t="s">
        <v>89</v>
      </c>
      <c r="O81" s="15" t="s">
        <v>115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M81" s="19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</row>
    <row r="82" spans="1:115" x14ac:dyDescent="0.2">
      <c r="A82" s="15" t="s">
        <v>120</v>
      </c>
      <c r="B82" s="10">
        <v>51.816716999999997</v>
      </c>
      <c r="C82" s="10">
        <v>-1.293917</v>
      </c>
      <c r="D82" t="s">
        <v>137</v>
      </c>
      <c r="E82" s="15" t="s">
        <v>79</v>
      </c>
      <c r="F82" s="15">
        <v>8</v>
      </c>
      <c r="G82" s="15">
        <v>2</v>
      </c>
      <c r="H82" s="15">
        <v>16</v>
      </c>
      <c r="I82" s="15">
        <f t="shared" si="0"/>
        <v>4</v>
      </c>
      <c r="J82" s="15">
        <f>COUNTIF(P82:BC82,"&gt;0")</f>
        <v>4</v>
      </c>
      <c r="K82" s="15">
        <v>174</v>
      </c>
      <c r="L82" s="15" t="s">
        <v>83</v>
      </c>
      <c r="M82" s="15" t="s">
        <v>89</v>
      </c>
      <c r="N82" s="15" t="s">
        <v>85</v>
      </c>
      <c r="O82" s="15" t="s">
        <v>121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1</v>
      </c>
      <c r="X82" s="15">
        <v>0</v>
      </c>
      <c r="Y82" s="15">
        <v>0</v>
      </c>
      <c r="Z82" s="15">
        <v>0</v>
      </c>
      <c r="AA82" s="15">
        <v>0</v>
      </c>
      <c r="AB82" s="15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M82" s="19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</row>
    <row r="83" spans="1:115" x14ac:dyDescent="0.2">
      <c r="A83" s="15" t="s">
        <v>122</v>
      </c>
      <c r="B83" s="10">
        <v>51.815533000000002</v>
      </c>
      <c r="C83" s="10">
        <v>-1.2947500000000001</v>
      </c>
      <c r="D83" t="s">
        <v>137</v>
      </c>
      <c r="E83" s="15" t="s">
        <v>73</v>
      </c>
      <c r="F83" s="15">
        <v>6</v>
      </c>
      <c r="G83" s="15">
        <v>3</v>
      </c>
      <c r="H83" s="15">
        <v>18</v>
      </c>
      <c r="I83" s="15">
        <f t="shared" si="0"/>
        <v>37</v>
      </c>
      <c r="J83" s="15">
        <f>COUNTIF(P83:BC83,"&gt;0")</f>
        <v>7</v>
      </c>
      <c r="K83" s="15">
        <v>350</v>
      </c>
      <c r="L83" s="15" t="s">
        <v>97</v>
      </c>
      <c r="M83" s="15" t="s">
        <v>89</v>
      </c>
      <c r="N83" s="15" t="s">
        <v>85</v>
      </c>
      <c r="O83" s="15" t="s">
        <v>121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1</v>
      </c>
      <c r="W83" s="15">
        <v>2</v>
      </c>
      <c r="X83" s="15">
        <v>0</v>
      </c>
      <c r="Y83" s="15">
        <v>0</v>
      </c>
      <c r="Z83" s="15">
        <v>17</v>
      </c>
      <c r="AA83" s="15">
        <v>0</v>
      </c>
      <c r="AB83" s="15">
        <v>4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M83" s="19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</row>
    <row r="84" spans="1:115" x14ac:dyDescent="0.2">
      <c r="A84" s="15" t="s">
        <v>123</v>
      </c>
      <c r="B84" s="10">
        <v>51.815832999999998</v>
      </c>
      <c r="C84" s="10">
        <v>-1.29295</v>
      </c>
      <c r="D84" t="s">
        <v>137</v>
      </c>
      <c r="E84" s="15" t="s">
        <v>73</v>
      </c>
      <c r="F84" s="15">
        <v>6</v>
      </c>
      <c r="G84" s="15">
        <v>3</v>
      </c>
      <c r="H84" s="15">
        <v>18</v>
      </c>
      <c r="I84" s="15">
        <f t="shared" si="0"/>
        <v>63</v>
      </c>
      <c r="J84" s="15">
        <f>COUNTIF(P84:BC84,"&gt;0")</f>
        <v>7</v>
      </c>
      <c r="K84" s="15">
        <v>161</v>
      </c>
      <c r="L84" s="15" t="s">
        <v>124</v>
      </c>
      <c r="M84" s="15" t="s">
        <v>76</v>
      </c>
      <c r="N84" s="15" t="s">
        <v>85</v>
      </c>
      <c r="O84" s="15" t="s">
        <v>121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1</v>
      </c>
      <c r="W84" s="15">
        <v>0</v>
      </c>
      <c r="X84" s="15">
        <v>1</v>
      </c>
      <c r="Y84" s="15">
        <v>0</v>
      </c>
      <c r="Z84" s="15">
        <v>55</v>
      </c>
      <c r="AA84" s="15">
        <v>0</v>
      </c>
      <c r="AB84" s="15">
        <v>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M84" s="19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</row>
    <row r="85" spans="1:115" x14ac:dyDescent="0.2">
      <c r="A85" s="15" t="s">
        <v>125</v>
      </c>
      <c r="B85" s="10">
        <v>51.815133000000003</v>
      </c>
      <c r="C85" s="10">
        <v>-1.2927</v>
      </c>
      <c r="D85" t="s">
        <v>137</v>
      </c>
      <c r="E85" s="15" t="s">
        <v>79</v>
      </c>
      <c r="F85" s="15">
        <v>8</v>
      </c>
      <c r="G85" s="15">
        <v>3</v>
      </c>
      <c r="H85" s="15">
        <v>24</v>
      </c>
      <c r="I85" s="15">
        <f t="shared" si="0"/>
        <v>14</v>
      </c>
      <c r="J85" s="15">
        <f>COUNTIF(P85:BC85,"&gt;0")</f>
        <v>6</v>
      </c>
      <c r="K85" s="15">
        <v>287</v>
      </c>
      <c r="L85" s="15" t="s">
        <v>92</v>
      </c>
      <c r="M85" s="15" t="s">
        <v>81</v>
      </c>
      <c r="N85" s="15" t="s">
        <v>89</v>
      </c>
      <c r="O85" s="15" t="s">
        <v>121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7</v>
      </c>
      <c r="AA85" s="15">
        <v>0</v>
      </c>
      <c r="AB85" s="15">
        <v>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1</v>
      </c>
      <c r="BA85">
        <v>0</v>
      </c>
      <c r="BB85">
        <v>0</v>
      </c>
      <c r="BC85">
        <v>0</v>
      </c>
      <c r="BM85" s="19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</row>
    <row r="86" spans="1:115" x14ac:dyDescent="0.2">
      <c r="A86" s="15" t="s">
        <v>126</v>
      </c>
      <c r="B86" s="10">
        <v>51.815100000000001</v>
      </c>
      <c r="C86" s="10">
        <v>-1.2924329999999999</v>
      </c>
      <c r="D86" t="s">
        <v>137</v>
      </c>
      <c r="E86" s="15" t="s">
        <v>79</v>
      </c>
      <c r="F86" s="15">
        <v>8</v>
      </c>
      <c r="G86" s="15">
        <v>3</v>
      </c>
      <c r="H86" s="15">
        <v>24</v>
      </c>
      <c r="I86" s="15">
        <f t="shared" si="0"/>
        <v>36</v>
      </c>
      <c r="J86" s="15">
        <f>COUNTIF(P86:BC86,"&gt;0")</f>
        <v>9</v>
      </c>
      <c r="K86" s="15">
        <v>117</v>
      </c>
      <c r="L86" s="15" t="s">
        <v>80</v>
      </c>
      <c r="M86" s="15" t="s">
        <v>81</v>
      </c>
      <c r="N86" s="15" t="s">
        <v>89</v>
      </c>
      <c r="O86" s="15" t="s">
        <v>113</v>
      </c>
      <c r="P86" s="15">
        <v>0</v>
      </c>
      <c r="Q86" s="15">
        <v>0</v>
      </c>
      <c r="R86" s="15">
        <v>0</v>
      </c>
      <c r="S86" s="15">
        <v>3</v>
      </c>
      <c r="T86" s="15">
        <v>0</v>
      </c>
      <c r="U86" s="15">
        <v>0</v>
      </c>
      <c r="V86" s="15">
        <v>3</v>
      </c>
      <c r="W86" s="15">
        <v>0</v>
      </c>
      <c r="X86" s="15">
        <v>0</v>
      </c>
      <c r="Y86" s="15">
        <v>0</v>
      </c>
      <c r="Z86" s="15">
        <v>2</v>
      </c>
      <c r="AA86" s="15">
        <v>0</v>
      </c>
      <c r="AB86" s="15">
        <v>12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3</v>
      </c>
      <c r="AP86">
        <v>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1</v>
      </c>
      <c r="BM86" s="19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</row>
    <row r="87" spans="1:115" x14ac:dyDescent="0.2">
      <c r="A87" s="15" t="s">
        <v>127</v>
      </c>
      <c r="B87" s="10">
        <v>51.812600000000003</v>
      </c>
      <c r="C87" s="10">
        <v>-1.293833</v>
      </c>
      <c r="D87" t="s">
        <v>137</v>
      </c>
      <c r="E87" s="15" t="s">
        <v>79</v>
      </c>
      <c r="F87" s="15">
        <v>8</v>
      </c>
      <c r="G87" s="15">
        <v>3</v>
      </c>
      <c r="H87" s="15">
        <v>24</v>
      </c>
      <c r="I87" s="15">
        <f t="shared" si="0"/>
        <v>34</v>
      </c>
      <c r="J87" s="15">
        <f>COUNTIF(P87:BC87,"&gt;0")</f>
        <v>8</v>
      </c>
      <c r="K87" s="15">
        <v>102</v>
      </c>
      <c r="L87" s="15" t="s">
        <v>88</v>
      </c>
      <c r="M87" s="15" t="s">
        <v>89</v>
      </c>
      <c r="N87" s="15" t="s">
        <v>75</v>
      </c>
      <c r="O87" s="15" t="s">
        <v>113</v>
      </c>
      <c r="P87" s="15">
        <v>0</v>
      </c>
      <c r="Q87" s="15">
        <v>0</v>
      </c>
      <c r="R87" s="15">
        <v>0</v>
      </c>
      <c r="S87" s="15">
        <v>3</v>
      </c>
      <c r="T87" s="15">
        <v>0</v>
      </c>
      <c r="U87" s="15">
        <v>0</v>
      </c>
      <c r="V87" s="15">
        <v>0</v>
      </c>
      <c r="W87" s="15">
        <v>0</v>
      </c>
      <c r="X87" s="15">
        <v>1</v>
      </c>
      <c r="Y87" s="15">
        <v>0</v>
      </c>
      <c r="Z87" s="15">
        <v>7</v>
      </c>
      <c r="AA87" s="15">
        <v>0</v>
      </c>
      <c r="AB87" s="15">
        <v>7</v>
      </c>
      <c r="AC87">
        <v>4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M87" s="23"/>
    </row>
    <row r="88" spans="1:115" x14ac:dyDescent="0.2">
      <c r="A88" s="15" t="s">
        <v>128</v>
      </c>
      <c r="B88" s="10">
        <v>51.809583000000003</v>
      </c>
      <c r="C88" s="10">
        <v>-1.2956669999999999</v>
      </c>
      <c r="D88" t="s">
        <v>137</v>
      </c>
      <c r="E88" s="15" t="s">
        <v>79</v>
      </c>
      <c r="F88" s="15">
        <v>8</v>
      </c>
      <c r="G88" s="15">
        <v>3</v>
      </c>
      <c r="H88" s="15">
        <v>24</v>
      </c>
      <c r="I88" s="15">
        <f t="shared" si="0"/>
        <v>53</v>
      </c>
      <c r="J88" s="15">
        <f>COUNTIF(P88:BC88,"&gt;0")</f>
        <v>9</v>
      </c>
      <c r="K88" s="15">
        <v>98</v>
      </c>
      <c r="L88" s="15" t="s">
        <v>88</v>
      </c>
      <c r="M88" s="15" t="s">
        <v>75</v>
      </c>
      <c r="N88" s="15" t="s">
        <v>75</v>
      </c>
      <c r="O88" s="15" t="s">
        <v>113</v>
      </c>
      <c r="P88" s="15">
        <v>0</v>
      </c>
      <c r="Q88" s="15">
        <v>0</v>
      </c>
      <c r="R88" s="15">
        <v>0</v>
      </c>
      <c r="S88" s="15">
        <v>5</v>
      </c>
      <c r="T88" s="15">
        <v>0</v>
      </c>
      <c r="U88" s="15">
        <v>0</v>
      </c>
      <c r="V88" s="15">
        <v>2</v>
      </c>
      <c r="W88" s="15">
        <v>0</v>
      </c>
      <c r="X88" s="15">
        <v>0</v>
      </c>
      <c r="Y88" s="15">
        <v>0</v>
      </c>
      <c r="Z88" s="15">
        <v>13</v>
      </c>
      <c r="AA88" s="15">
        <v>0</v>
      </c>
      <c r="AB88" s="15">
        <v>12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2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16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115" x14ac:dyDescent="0.2">
      <c r="A89" s="15" t="s">
        <v>129</v>
      </c>
      <c r="B89" s="10">
        <v>51.807749999999999</v>
      </c>
      <c r="C89" s="10">
        <v>-1.29295</v>
      </c>
      <c r="D89" t="s">
        <v>137</v>
      </c>
      <c r="E89" s="15" t="s">
        <v>79</v>
      </c>
      <c r="F89" s="15">
        <v>8</v>
      </c>
      <c r="G89" s="15">
        <v>2</v>
      </c>
      <c r="H89" s="15">
        <v>16</v>
      </c>
      <c r="I89" s="15">
        <f t="shared" si="0"/>
        <v>15</v>
      </c>
      <c r="J89" s="15">
        <f>COUNTIF(P89:BC89,"&gt;0")</f>
        <v>6</v>
      </c>
      <c r="K89" s="15">
        <v>285</v>
      </c>
      <c r="L89" s="15" t="s">
        <v>92</v>
      </c>
      <c r="M89" s="15" t="s">
        <v>75</v>
      </c>
      <c r="N89" s="15" t="s">
        <v>89</v>
      </c>
      <c r="O89" s="15" t="s">
        <v>113</v>
      </c>
      <c r="P89" s="15">
        <v>0</v>
      </c>
      <c r="Q89" s="15">
        <v>0</v>
      </c>
      <c r="R89" s="15">
        <v>0</v>
      </c>
      <c r="S89" s="15">
        <v>1</v>
      </c>
      <c r="T89" s="15">
        <v>0</v>
      </c>
      <c r="U89" s="15">
        <v>0</v>
      </c>
      <c r="V89" s="15">
        <v>0</v>
      </c>
      <c r="W89" s="15">
        <v>1</v>
      </c>
      <c r="X89" s="15">
        <v>0</v>
      </c>
      <c r="Y89" s="15">
        <v>0</v>
      </c>
      <c r="Z89" s="15">
        <v>3</v>
      </c>
      <c r="AA89" s="15">
        <v>0</v>
      </c>
      <c r="AB89" s="15">
        <v>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5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115" x14ac:dyDescent="0.2">
      <c r="A90" s="15" t="s">
        <v>130</v>
      </c>
      <c r="B90" s="10">
        <v>51.808599999999998</v>
      </c>
      <c r="C90" s="10">
        <v>-1.288683</v>
      </c>
      <c r="D90" t="s">
        <v>137</v>
      </c>
      <c r="E90" s="15" t="s">
        <v>73</v>
      </c>
      <c r="F90" s="15">
        <v>6</v>
      </c>
      <c r="G90" s="15">
        <v>3</v>
      </c>
      <c r="H90" s="15">
        <v>18</v>
      </c>
      <c r="I90" s="15">
        <f t="shared" si="0"/>
        <v>17</v>
      </c>
      <c r="J90" s="15">
        <f>COUNTIF(P90:BC90,"&gt;0")</f>
        <v>5</v>
      </c>
      <c r="K90" s="15">
        <v>274</v>
      </c>
      <c r="L90" s="15" t="s">
        <v>92</v>
      </c>
      <c r="M90" s="15" t="s">
        <v>76</v>
      </c>
      <c r="N90" s="15" t="s">
        <v>89</v>
      </c>
      <c r="O90" s="15" t="s">
        <v>113</v>
      </c>
      <c r="P90" s="15">
        <v>0</v>
      </c>
      <c r="Q90" s="15">
        <v>0</v>
      </c>
      <c r="R90" s="15">
        <v>0</v>
      </c>
      <c r="S90" s="15">
        <v>2</v>
      </c>
      <c r="T90" s="15">
        <v>0</v>
      </c>
      <c r="U90" s="15">
        <v>0</v>
      </c>
      <c r="V90" s="15">
        <v>0</v>
      </c>
      <c r="W90" s="15">
        <v>0</v>
      </c>
      <c r="X90" s="15">
        <v>2</v>
      </c>
      <c r="Y90" s="15">
        <v>0</v>
      </c>
      <c r="Z90" s="15">
        <v>6</v>
      </c>
      <c r="AA90" s="15">
        <v>0</v>
      </c>
      <c r="AB90" s="15">
        <v>6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115" x14ac:dyDescent="0.2">
      <c r="A91" s="15" t="s">
        <v>131</v>
      </c>
      <c r="B91" s="10">
        <v>51.811216999999999</v>
      </c>
      <c r="C91" s="10">
        <v>-1.2882830000000001</v>
      </c>
      <c r="D91" t="s">
        <v>137</v>
      </c>
      <c r="E91" s="15" t="s">
        <v>73</v>
      </c>
      <c r="F91" s="15">
        <v>6</v>
      </c>
      <c r="G91" s="15">
        <v>3</v>
      </c>
      <c r="H91" s="15">
        <v>18</v>
      </c>
      <c r="I91" s="15">
        <f t="shared" si="0"/>
        <v>20</v>
      </c>
      <c r="J91" s="15">
        <f>COUNTIF(P91:BC91,"&gt;0")</f>
        <v>3</v>
      </c>
      <c r="K91" s="15">
        <v>278</v>
      </c>
      <c r="L91" s="15" t="s">
        <v>92</v>
      </c>
      <c r="M91" s="15" t="s">
        <v>76</v>
      </c>
      <c r="N91" s="15" t="s">
        <v>75</v>
      </c>
      <c r="O91" s="15" t="s">
        <v>113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3</v>
      </c>
      <c r="AA91" s="15">
        <v>0</v>
      </c>
      <c r="AB91" s="15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FC95-3E37-4841-BC02-41F70B5AF469}">
  <dimension ref="A1:AY91"/>
  <sheetViews>
    <sheetView zoomScale="75" workbookViewId="0">
      <selection activeCell="J62" sqref="J62:J91"/>
    </sheetView>
  </sheetViews>
  <sheetFormatPr baseColWidth="10" defaultRowHeight="16" x14ac:dyDescent="0.2"/>
  <cols>
    <col min="4" max="4" width="5.33203125" bestFit="1" customWidth="1"/>
    <col min="32" max="51" width="10.83203125" style="33"/>
  </cols>
  <sheetData>
    <row r="1" spans="1:51" ht="103" x14ac:dyDescent="0.2">
      <c r="A1" s="14" t="s">
        <v>0</v>
      </c>
      <c r="B1" s="25" t="s">
        <v>1</v>
      </c>
      <c r="C1" s="25" t="s">
        <v>2</v>
      </c>
      <c r="D1" s="1" t="s">
        <v>134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4" t="s">
        <v>223</v>
      </c>
      <c r="Q1" s="14" t="s">
        <v>17</v>
      </c>
      <c r="R1" s="14" t="s">
        <v>226</v>
      </c>
      <c r="S1" s="14" t="s">
        <v>143</v>
      </c>
      <c r="T1" s="14" t="s">
        <v>22</v>
      </c>
      <c r="U1" s="14" t="s">
        <v>144</v>
      </c>
      <c r="V1" s="14" t="s">
        <v>145</v>
      </c>
      <c r="W1" s="14" t="s">
        <v>25</v>
      </c>
      <c r="X1" s="14" t="s">
        <v>228</v>
      </c>
      <c r="Y1" s="14" t="s">
        <v>232</v>
      </c>
      <c r="Z1" s="26" t="s">
        <v>29</v>
      </c>
      <c r="AA1" s="14" t="s">
        <v>138</v>
      </c>
      <c r="AB1" s="17" t="s">
        <v>139</v>
      </c>
      <c r="AC1" s="27" t="s">
        <v>141</v>
      </c>
      <c r="AD1" s="18" t="s">
        <v>140</v>
      </c>
      <c r="AE1" s="14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24"/>
      <c r="AV1" s="24"/>
      <c r="AW1" s="24"/>
      <c r="AX1" s="24"/>
      <c r="AY1" s="24"/>
    </row>
    <row r="2" spans="1:51" x14ac:dyDescent="0.2">
      <c r="A2" s="15" t="s">
        <v>72</v>
      </c>
      <c r="B2" s="28">
        <v>51.822099999999999</v>
      </c>
      <c r="C2" s="28">
        <v>-1.2992330000000001</v>
      </c>
      <c r="D2" t="s">
        <v>135</v>
      </c>
      <c r="E2" s="15" t="s">
        <v>73</v>
      </c>
      <c r="F2" s="15">
        <v>6</v>
      </c>
      <c r="G2" s="15">
        <v>3</v>
      </c>
      <c r="H2" s="15">
        <v>18</v>
      </c>
      <c r="I2" s="15">
        <v>38</v>
      </c>
      <c r="J2" s="15">
        <f>COUNTIF(P2:AD2,"&gt;0")</f>
        <v>8</v>
      </c>
      <c r="K2" s="29">
        <v>225</v>
      </c>
      <c r="L2" s="15" t="s">
        <v>74</v>
      </c>
      <c r="M2" s="15" t="s">
        <v>75</v>
      </c>
      <c r="N2" s="15" t="s">
        <v>76</v>
      </c>
      <c r="O2" s="15" t="s">
        <v>77</v>
      </c>
      <c r="P2" s="15">
        <v>0</v>
      </c>
      <c r="Q2" s="15">
        <v>8</v>
      </c>
      <c r="R2" s="15">
        <v>0</v>
      </c>
      <c r="S2" s="15">
        <v>0</v>
      </c>
      <c r="T2" s="15">
        <v>0</v>
      </c>
      <c r="U2" s="15">
        <v>1</v>
      </c>
      <c r="V2" s="15">
        <v>0</v>
      </c>
      <c r="W2" s="15">
        <v>0</v>
      </c>
      <c r="X2" s="15">
        <v>4</v>
      </c>
      <c r="Y2" s="15">
        <v>0</v>
      </c>
      <c r="Z2" s="15">
        <v>2</v>
      </c>
      <c r="AA2" s="15">
        <v>12</v>
      </c>
      <c r="AB2" s="15">
        <v>1</v>
      </c>
      <c r="AC2" s="15">
        <v>9</v>
      </c>
      <c r="AD2" s="15">
        <v>1</v>
      </c>
      <c r="AE2" s="15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24"/>
      <c r="AV2" s="24"/>
      <c r="AW2" s="24"/>
      <c r="AX2" s="24"/>
      <c r="AY2" s="24"/>
    </row>
    <row r="3" spans="1:51" x14ac:dyDescent="0.2">
      <c r="A3" s="15" t="s">
        <v>78</v>
      </c>
      <c r="B3" s="28">
        <v>51.822516999999998</v>
      </c>
      <c r="C3" s="28">
        <v>-1.3022499999999999</v>
      </c>
      <c r="D3" t="s">
        <v>135</v>
      </c>
      <c r="E3" s="15" t="s">
        <v>79</v>
      </c>
      <c r="F3" s="15">
        <v>8</v>
      </c>
      <c r="G3" s="15">
        <v>3</v>
      </c>
      <c r="H3" s="15">
        <v>24</v>
      </c>
      <c r="I3" s="15">
        <v>73</v>
      </c>
      <c r="J3" s="15">
        <f t="shared" ref="J3:J66" si="0">COUNTIF(P3:AD3,"&gt;0")</f>
        <v>7</v>
      </c>
      <c r="K3" s="15">
        <v>150</v>
      </c>
      <c r="L3" s="15" t="s">
        <v>80</v>
      </c>
      <c r="M3" s="15" t="s">
        <v>81</v>
      </c>
      <c r="N3" s="15" t="s">
        <v>75</v>
      </c>
      <c r="O3" s="15" t="s">
        <v>77</v>
      </c>
      <c r="P3" s="15">
        <v>0</v>
      </c>
      <c r="Q3" s="15">
        <v>14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2</v>
      </c>
      <c r="X3" s="15">
        <v>3</v>
      </c>
      <c r="Y3" s="15">
        <v>0</v>
      </c>
      <c r="Z3" s="15">
        <v>0</v>
      </c>
      <c r="AA3" s="15">
        <v>17</v>
      </c>
      <c r="AB3" s="15">
        <v>5</v>
      </c>
      <c r="AC3" s="15">
        <v>27</v>
      </c>
      <c r="AD3" s="15">
        <v>5</v>
      </c>
      <c r="AE3" s="15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2"/>
      <c r="AW3" s="32"/>
      <c r="AX3" s="32"/>
      <c r="AY3" s="32"/>
    </row>
    <row r="4" spans="1:51" x14ac:dyDescent="0.2">
      <c r="A4" s="15" t="s">
        <v>82</v>
      </c>
      <c r="B4" s="28">
        <v>51.823616999999999</v>
      </c>
      <c r="C4" s="28">
        <v>-1.3056000000000001</v>
      </c>
      <c r="D4" t="s">
        <v>135</v>
      </c>
      <c r="E4" s="15" t="s">
        <v>73</v>
      </c>
      <c r="F4" s="15">
        <v>6</v>
      </c>
      <c r="G4" s="15">
        <v>3</v>
      </c>
      <c r="H4" s="15">
        <v>18</v>
      </c>
      <c r="I4" s="15">
        <v>26</v>
      </c>
      <c r="J4" s="15">
        <f t="shared" si="0"/>
        <v>5</v>
      </c>
      <c r="K4" s="15">
        <v>179</v>
      </c>
      <c r="L4" s="15" t="s">
        <v>83</v>
      </c>
      <c r="M4" s="15" t="s">
        <v>84</v>
      </c>
      <c r="N4" s="15" t="s">
        <v>85</v>
      </c>
      <c r="O4" s="15" t="s">
        <v>86</v>
      </c>
      <c r="P4" s="15">
        <v>0</v>
      </c>
      <c r="Q4" s="15">
        <v>6</v>
      </c>
      <c r="R4" s="15">
        <v>0</v>
      </c>
      <c r="S4" s="15">
        <v>0</v>
      </c>
      <c r="T4" s="15">
        <v>0</v>
      </c>
      <c r="U4" s="15">
        <v>1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9</v>
      </c>
      <c r="AB4" s="15">
        <v>1</v>
      </c>
      <c r="AC4" s="15">
        <v>9</v>
      </c>
      <c r="AD4" s="15">
        <v>0</v>
      </c>
      <c r="AE4" s="15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2"/>
      <c r="AV4" s="32"/>
      <c r="AW4" s="32"/>
      <c r="AX4" s="32"/>
      <c r="AY4" s="32"/>
    </row>
    <row r="5" spans="1:51" x14ac:dyDescent="0.2">
      <c r="A5" s="15" t="s">
        <v>87</v>
      </c>
      <c r="B5" s="28">
        <v>51.822032999999998</v>
      </c>
      <c r="C5" s="28">
        <v>-1.30945</v>
      </c>
      <c r="D5" t="s">
        <v>135</v>
      </c>
      <c r="E5" s="15" t="s">
        <v>73</v>
      </c>
      <c r="F5" s="15">
        <v>6</v>
      </c>
      <c r="G5" s="15">
        <v>3</v>
      </c>
      <c r="H5" s="15">
        <v>18</v>
      </c>
      <c r="I5" s="15">
        <v>53</v>
      </c>
      <c r="J5" s="15">
        <f t="shared" si="0"/>
        <v>5</v>
      </c>
      <c r="K5" s="15">
        <v>88</v>
      </c>
      <c r="L5" s="15" t="s">
        <v>88</v>
      </c>
      <c r="M5" s="15" t="s">
        <v>81</v>
      </c>
      <c r="N5" s="15" t="s">
        <v>89</v>
      </c>
      <c r="O5" s="15" t="s">
        <v>86</v>
      </c>
      <c r="P5" s="15">
        <v>0</v>
      </c>
      <c r="Q5" s="15">
        <v>9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2</v>
      </c>
      <c r="Y5" s="15">
        <v>0</v>
      </c>
      <c r="Z5" s="15">
        <v>0</v>
      </c>
      <c r="AA5" s="15">
        <v>14</v>
      </c>
      <c r="AB5" s="15">
        <v>4</v>
      </c>
      <c r="AC5" s="15">
        <v>24</v>
      </c>
      <c r="AD5" s="15">
        <v>0</v>
      </c>
      <c r="AE5" s="15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2"/>
      <c r="AV5" s="32"/>
      <c r="AW5" s="32"/>
      <c r="AX5" s="32"/>
      <c r="AY5" s="32"/>
    </row>
    <row r="6" spans="1:51" x14ac:dyDescent="0.2">
      <c r="A6" s="15" t="s">
        <v>90</v>
      </c>
      <c r="B6" s="28">
        <v>51.820900000000002</v>
      </c>
      <c r="C6" s="28">
        <v>-1.3093669999999999</v>
      </c>
      <c r="D6" t="s">
        <v>135</v>
      </c>
      <c r="E6" s="15" t="s">
        <v>91</v>
      </c>
      <c r="F6" s="15">
        <v>2</v>
      </c>
      <c r="G6" s="15">
        <v>2</v>
      </c>
      <c r="H6" s="15">
        <v>4</v>
      </c>
      <c r="I6" s="15">
        <v>30</v>
      </c>
      <c r="J6" s="15">
        <f t="shared" si="0"/>
        <v>7</v>
      </c>
      <c r="K6" s="15">
        <v>255</v>
      </c>
      <c r="L6" s="15" t="s">
        <v>92</v>
      </c>
      <c r="M6" s="15" t="s">
        <v>85</v>
      </c>
      <c r="N6" s="15" t="s">
        <v>84</v>
      </c>
      <c r="O6" s="15" t="s">
        <v>86</v>
      </c>
      <c r="P6" s="15">
        <v>1</v>
      </c>
      <c r="Q6" s="15">
        <v>4</v>
      </c>
      <c r="R6" s="15">
        <v>2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5</v>
      </c>
      <c r="Y6" s="15">
        <v>0</v>
      </c>
      <c r="Z6" s="15">
        <v>0</v>
      </c>
      <c r="AA6" s="15">
        <v>11</v>
      </c>
      <c r="AB6" s="15">
        <v>1</v>
      </c>
      <c r="AC6" s="15">
        <v>6</v>
      </c>
      <c r="AD6" s="15">
        <v>0</v>
      </c>
      <c r="AE6" s="15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2"/>
      <c r="AV6" s="32"/>
      <c r="AW6" s="32"/>
      <c r="AX6" s="32"/>
      <c r="AY6" s="32"/>
    </row>
    <row r="7" spans="1:51" x14ac:dyDescent="0.2">
      <c r="A7" s="15" t="s">
        <v>93</v>
      </c>
      <c r="B7" s="28">
        <v>51.818367000000002</v>
      </c>
      <c r="C7" s="28">
        <v>-1.3125830000000001</v>
      </c>
      <c r="D7" t="s">
        <v>135</v>
      </c>
      <c r="E7" s="15" t="s">
        <v>73</v>
      </c>
      <c r="F7" s="15">
        <v>6</v>
      </c>
      <c r="G7" s="15">
        <v>2</v>
      </c>
      <c r="H7" s="15">
        <v>12</v>
      </c>
      <c r="I7" s="15">
        <v>34</v>
      </c>
      <c r="J7" s="15">
        <f t="shared" si="0"/>
        <v>5</v>
      </c>
      <c r="K7" s="15">
        <v>255</v>
      </c>
      <c r="L7" s="15" t="s">
        <v>92</v>
      </c>
      <c r="M7" s="15" t="s">
        <v>75</v>
      </c>
      <c r="N7" s="15" t="s">
        <v>85</v>
      </c>
      <c r="O7" s="15" t="s">
        <v>94</v>
      </c>
      <c r="P7" s="15">
        <v>0</v>
      </c>
      <c r="Q7" s="15">
        <v>7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5</v>
      </c>
      <c r="Y7" s="15">
        <v>0</v>
      </c>
      <c r="Z7" s="15">
        <v>0</v>
      </c>
      <c r="AA7" s="15">
        <v>2</v>
      </c>
      <c r="AB7" s="15">
        <v>2</v>
      </c>
      <c r="AC7" s="15">
        <v>18</v>
      </c>
      <c r="AD7" s="15">
        <v>0</v>
      </c>
      <c r="AE7" s="15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2"/>
      <c r="AV7" s="32"/>
      <c r="AW7" s="32"/>
      <c r="AX7" s="32"/>
      <c r="AY7" s="32"/>
    </row>
    <row r="8" spans="1:51" x14ac:dyDescent="0.2">
      <c r="A8" s="15" t="s">
        <v>95</v>
      </c>
      <c r="B8" s="28">
        <v>51.817667</v>
      </c>
      <c r="C8" s="28">
        <v>-1.314683</v>
      </c>
      <c r="D8" t="s">
        <v>135</v>
      </c>
      <c r="E8" s="15" t="s">
        <v>96</v>
      </c>
      <c r="F8" s="15">
        <v>4</v>
      </c>
      <c r="G8" s="15">
        <v>3</v>
      </c>
      <c r="H8" s="15">
        <v>12</v>
      </c>
      <c r="I8" s="15">
        <v>39</v>
      </c>
      <c r="J8" s="15">
        <f t="shared" si="0"/>
        <v>7</v>
      </c>
      <c r="K8" s="15">
        <v>2</v>
      </c>
      <c r="L8" s="15" t="s">
        <v>97</v>
      </c>
      <c r="M8" s="15" t="s">
        <v>84</v>
      </c>
      <c r="N8" s="15" t="s">
        <v>84</v>
      </c>
      <c r="O8" s="15" t="s">
        <v>94</v>
      </c>
      <c r="P8" s="15">
        <v>0</v>
      </c>
      <c r="Q8" s="15">
        <v>8</v>
      </c>
      <c r="R8" s="15">
        <v>1</v>
      </c>
      <c r="S8" s="15">
        <v>0</v>
      </c>
      <c r="T8" s="15">
        <v>0</v>
      </c>
      <c r="U8" s="15">
        <v>1</v>
      </c>
      <c r="V8" s="15">
        <v>0</v>
      </c>
      <c r="W8" s="15">
        <v>0</v>
      </c>
      <c r="X8" s="15">
        <v>3</v>
      </c>
      <c r="Y8" s="15">
        <v>0</v>
      </c>
      <c r="Z8" s="15">
        <v>0</v>
      </c>
      <c r="AA8" s="15">
        <v>1</v>
      </c>
      <c r="AB8" s="15">
        <v>10</v>
      </c>
      <c r="AC8" s="15">
        <v>15</v>
      </c>
      <c r="AD8" s="15">
        <v>0</v>
      </c>
      <c r="AE8" s="15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2"/>
      <c r="AV8" s="32"/>
      <c r="AW8" s="32"/>
      <c r="AX8" s="32"/>
      <c r="AY8" s="32"/>
    </row>
    <row r="9" spans="1:51" x14ac:dyDescent="0.2">
      <c r="A9" s="15" t="s">
        <v>98</v>
      </c>
      <c r="B9" s="28">
        <v>51.817332999999998</v>
      </c>
      <c r="C9" s="28">
        <v>-1.3145</v>
      </c>
      <c r="D9" t="s">
        <v>135</v>
      </c>
      <c r="E9" s="15" t="s">
        <v>73</v>
      </c>
      <c r="F9" s="15">
        <v>6</v>
      </c>
      <c r="G9" s="15">
        <v>3</v>
      </c>
      <c r="H9" s="15">
        <v>18</v>
      </c>
      <c r="I9" s="15">
        <v>57</v>
      </c>
      <c r="J9" s="15">
        <f t="shared" si="0"/>
        <v>6</v>
      </c>
      <c r="K9" s="15">
        <v>171</v>
      </c>
      <c r="L9" s="15" t="s">
        <v>83</v>
      </c>
      <c r="M9" s="15" t="s">
        <v>81</v>
      </c>
      <c r="N9" s="15" t="s">
        <v>89</v>
      </c>
      <c r="O9" s="15" t="s">
        <v>99</v>
      </c>
      <c r="P9" s="15">
        <v>1</v>
      </c>
      <c r="Q9" s="15">
        <v>16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5</v>
      </c>
      <c r="Y9" s="15">
        <v>0</v>
      </c>
      <c r="Z9" s="15">
        <v>0</v>
      </c>
      <c r="AA9" s="15">
        <v>20</v>
      </c>
      <c r="AB9" s="15">
        <v>2</v>
      </c>
      <c r="AC9" s="15">
        <v>13</v>
      </c>
      <c r="AD9" s="15">
        <v>0</v>
      </c>
      <c r="AE9" s="15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2"/>
      <c r="AV9" s="32"/>
      <c r="AW9" s="32"/>
      <c r="AX9" s="32"/>
      <c r="AY9" s="32"/>
    </row>
    <row r="10" spans="1:51" x14ac:dyDescent="0.2">
      <c r="A10" s="15" t="s">
        <v>100</v>
      </c>
      <c r="B10" s="28">
        <v>51.816682999999998</v>
      </c>
      <c r="C10" s="28">
        <v>-1.31325</v>
      </c>
      <c r="D10" t="s">
        <v>135</v>
      </c>
      <c r="E10" s="15" t="s">
        <v>73</v>
      </c>
      <c r="F10" s="15">
        <v>6</v>
      </c>
      <c r="G10" s="15">
        <v>2</v>
      </c>
      <c r="H10" s="15">
        <v>12</v>
      </c>
      <c r="I10" s="15">
        <v>26</v>
      </c>
      <c r="J10" s="15">
        <f t="shared" si="0"/>
        <v>8</v>
      </c>
      <c r="K10" s="15">
        <v>268</v>
      </c>
      <c r="L10" s="15" t="s">
        <v>92</v>
      </c>
      <c r="M10" s="15" t="s">
        <v>75</v>
      </c>
      <c r="N10" s="15" t="s">
        <v>89</v>
      </c>
      <c r="O10" s="15" t="s">
        <v>94</v>
      </c>
      <c r="P10" s="15">
        <v>1</v>
      </c>
      <c r="Q10" s="15">
        <v>5</v>
      </c>
      <c r="R10" s="15">
        <v>0</v>
      </c>
      <c r="S10" s="15">
        <v>0</v>
      </c>
      <c r="T10" s="15">
        <v>0</v>
      </c>
      <c r="U10" s="15">
        <v>1</v>
      </c>
      <c r="V10" s="15">
        <v>0</v>
      </c>
      <c r="W10" s="15">
        <v>0</v>
      </c>
      <c r="X10" s="15">
        <v>5</v>
      </c>
      <c r="Y10" s="15">
        <v>0</v>
      </c>
      <c r="Z10" s="15">
        <v>0</v>
      </c>
      <c r="AA10" s="15">
        <v>7</v>
      </c>
      <c r="AB10" s="15">
        <v>1</v>
      </c>
      <c r="AC10" s="15">
        <v>5</v>
      </c>
      <c r="AD10" s="15">
        <v>1</v>
      </c>
      <c r="AE10" s="15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2"/>
      <c r="AV10" s="32"/>
      <c r="AW10" s="32"/>
      <c r="AX10" s="32"/>
      <c r="AY10" s="32"/>
    </row>
    <row r="11" spans="1:51" x14ac:dyDescent="0.2">
      <c r="A11" s="15" t="s">
        <v>101</v>
      </c>
      <c r="B11" s="28">
        <v>51.815100000000001</v>
      </c>
      <c r="C11" s="28">
        <v>-1.313367</v>
      </c>
      <c r="D11" t="s">
        <v>135</v>
      </c>
      <c r="E11" s="15" t="s">
        <v>102</v>
      </c>
      <c r="F11" s="15">
        <v>1</v>
      </c>
      <c r="G11" s="15">
        <v>3</v>
      </c>
      <c r="H11" s="15">
        <v>3</v>
      </c>
      <c r="I11" s="15">
        <v>36</v>
      </c>
      <c r="J11" s="15">
        <f t="shared" si="0"/>
        <v>5</v>
      </c>
      <c r="K11" s="15">
        <v>333</v>
      </c>
      <c r="L11" s="15" t="s">
        <v>103</v>
      </c>
      <c r="M11" s="15" t="s">
        <v>104</v>
      </c>
      <c r="N11" s="15" t="s">
        <v>84</v>
      </c>
      <c r="O11" s="15" t="s">
        <v>94</v>
      </c>
      <c r="P11" s="15">
        <v>0</v>
      </c>
      <c r="Q11" s="15">
        <v>3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8</v>
      </c>
      <c r="Y11" s="15">
        <v>0</v>
      </c>
      <c r="Z11" s="15">
        <v>0</v>
      </c>
      <c r="AA11" s="15">
        <v>6</v>
      </c>
      <c r="AB11" s="15">
        <v>9</v>
      </c>
      <c r="AC11" s="15">
        <v>10</v>
      </c>
      <c r="AD11" s="15">
        <v>0</v>
      </c>
      <c r="AE11" s="15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2"/>
      <c r="AV11" s="32"/>
      <c r="AW11" s="32"/>
      <c r="AX11" s="32"/>
      <c r="AY11" s="32"/>
    </row>
    <row r="12" spans="1:51" x14ac:dyDescent="0.2">
      <c r="A12" s="15" t="s">
        <v>105</v>
      </c>
      <c r="B12" s="28">
        <v>51.817749999999997</v>
      </c>
      <c r="C12" s="28">
        <v>-1.310883</v>
      </c>
      <c r="D12" t="s">
        <v>135</v>
      </c>
      <c r="E12" s="15" t="s">
        <v>96</v>
      </c>
      <c r="F12" s="15">
        <v>4</v>
      </c>
      <c r="G12" s="15">
        <v>3</v>
      </c>
      <c r="H12" s="15">
        <v>12</v>
      </c>
      <c r="I12" s="15">
        <v>36</v>
      </c>
      <c r="J12" s="15">
        <f t="shared" si="0"/>
        <v>5</v>
      </c>
      <c r="K12" s="15">
        <v>0</v>
      </c>
      <c r="L12" s="15" t="s">
        <v>97</v>
      </c>
      <c r="M12" s="15" t="s">
        <v>85</v>
      </c>
      <c r="N12" s="15" t="s">
        <v>84</v>
      </c>
      <c r="O12" s="15" t="s">
        <v>94</v>
      </c>
      <c r="P12" s="15">
        <v>0</v>
      </c>
      <c r="Q12" s="15">
        <v>13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2</v>
      </c>
      <c r="Y12" s="15">
        <v>0</v>
      </c>
      <c r="Z12" s="15">
        <v>0</v>
      </c>
      <c r="AA12" s="15">
        <v>6</v>
      </c>
      <c r="AB12" s="15">
        <v>7</v>
      </c>
      <c r="AC12" s="15">
        <v>8</v>
      </c>
      <c r="AD12" s="15">
        <v>0</v>
      </c>
      <c r="AE12" s="15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2"/>
      <c r="AV12" s="32"/>
      <c r="AW12" s="32"/>
      <c r="AX12" s="32"/>
      <c r="AY12" s="32"/>
    </row>
    <row r="13" spans="1:51" x14ac:dyDescent="0.2">
      <c r="A13" s="15" t="s">
        <v>106</v>
      </c>
      <c r="B13" s="28">
        <v>51.816133000000001</v>
      </c>
      <c r="C13" s="28">
        <v>-1.3091330000000001</v>
      </c>
      <c r="D13" t="s">
        <v>135</v>
      </c>
      <c r="E13" s="15" t="s">
        <v>96</v>
      </c>
      <c r="F13" s="15">
        <v>4</v>
      </c>
      <c r="G13" s="15">
        <v>3</v>
      </c>
      <c r="H13" s="15">
        <v>12</v>
      </c>
      <c r="I13" s="15">
        <v>17</v>
      </c>
      <c r="J13" s="15">
        <f t="shared" si="0"/>
        <v>5</v>
      </c>
      <c r="K13" s="15">
        <v>358</v>
      </c>
      <c r="L13" s="15" t="s">
        <v>97</v>
      </c>
      <c r="M13" s="15" t="s">
        <v>85</v>
      </c>
      <c r="N13" s="15" t="s">
        <v>85</v>
      </c>
      <c r="O13" s="15" t="s">
        <v>94</v>
      </c>
      <c r="P13" s="15">
        <v>0</v>
      </c>
      <c r="Q13" s="15">
        <v>3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5</v>
      </c>
      <c r="AB13" s="15">
        <v>2</v>
      </c>
      <c r="AC13" s="15">
        <v>6</v>
      </c>
      <c r="AD13" s="15">
        <v>0</v>
      </c>
      <c r="AE13" s="15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2"/>
      <c r="AV13" s="32"/>
      <c r="AW13" s="32"/>
      <c r="AX13" s="32"/>
      <c r="AY13" s="32"/>
    </row>
    <row r="14" spans="1:51" x14ac:dyDescent="0.2">
      <c r="A14" s="15" t="s">
        <v>107</v>
      </c>
      <c r="B14" s="28">
        <v>51.815100000000001</v>
      </c>
      <c r="C14" s="28">
        <v>-1.307833</v>
      </c>
      <c r="D14" t="s">
        <v>135</v>
      </c>
      <c r="E14" s="15" t="s">
        <v>96</v>
      </c>
      <c r="F14" s="15">
        <v>4</v>
      </c>
      <c r="G14" s="15">
        <v>3</v>
      </c>
      <c r="H14" s="15">
        <v>12</v>
      </c>
      <c r="I14" s="15">
        <v>20</v>
      </c>
      <c r="J14" s="15">
        <f t="shared" si="0"/>
        <v>4</v>
      </c>
      <c r="K14" s="15">
        <v>4</v>
      </c>
      <c r="L14" s="15" t="s">
        <v>97</v>
      </c>
      <c r="M14" s="15" t="s">
        <v>84</v>
      </c>
      <c r="N14" s="15" t="s">
        <v>84</v>
      </c>
      <c r="O14" s="15" t="s">
        <v>108</v>
      </c>
      <c r="P14" s="15">
        <v>0</v>
      </c>
      <c r="Q14" s="15">
        <v>7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5</v>
      </c>
      <c r="AB14" s="15">
        <v>4</v>
      </c>
      <c r="AC14" s="15">
        <v>4</v>
      </c>
      <c r="AD14" s="15">
        <v>0</v>
      </c>
      <c r="AE14" s="15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2"/>
      <c r="AV14" s="32"/>
      <c r="AW14" s="32"/>
      <c r="AX14" s="32"/>
      <c r="AY14" s="32"/>
    </row>
    <row r="15" spans="1:51" x14ac:dyDescent="0.2">
      <c r="A15" s="15" t="s">
        <v>109</v>
      </c>
      <c r="B15" s="28">
        <v>51.816766999999999</v>
      </c>
      <c r="C15" s="28">
        <v>-1.3060499999999999</v>
      </c>
      <c r="D15" t="s">
        <v>135</v>
      </c>
      <c r="E15" s="15" t="s">
        <v>110</v>
      </c>
      <c r="F15" s="15">
        <v>2</v>
      </c>
      <c r="G15" s="15">
        <v>2</v>
      </c>
      <c r="H15" s="15">
        <v>4</v>
      </c>
      <c r="I15" s="15">
        <v>34</v>
      </c>
      <c r="J15" s="15">
        <f t="shared" si="0"/>
        <v>6</v>
      </c>
      <c r="K15" s="15">
        <v>268</v>
      </c>
      <c r="L15" s="15" t="s">
        <v>92</v>
      </c>
      <c r="M15" s="15" t="s">
        <v>104</v>
      </c>
      <c r="N15" s="15" t="s">
        <v>104</v>
      </c>
      <c r="O15" s="15" t="s">
        <v>99</v>
      </c>
      <c r="P15" s="15">
        <v>0</v>
      </c>
      <c r="Q15" s="15">
        <v>9</v>
      </c>
      <c r="R15" s="15">
        <v>0</v>
      </c>
      <c r="S15" s="15">
        <v>0</v>
      </c>
      <c r="T15" s="15">
        <v>0</v>
      </c>
      <c r="U15" s="15">
        <v>1</v>
      </c>
      <c r="V15" s="15">
        <v>0</v>
      </c>
      <c r="W15" s="15">
        <v>0</v>
      </c>
      <c r="X15" s="15">
        <v>1</v>
      </c>
      <c r="Y15" s="15">
        <v>0</v>
      </c>
      <c r="Z15" s="15">
        <v>0</v>
      </c>
      <c r="AA15" s="15">
        <v>6</v>
      </c>
      <c r="AB15" s="15">
        <v>2</v>
      </c>
      <c r="AC15" s="15">
        <v>15</v>
      </c>
      <c r="AD15" s="15">
        <v>0</v>
      </c>
      <c r="AE15" s="15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2"/>
      <c r="AV15" s="32"/>
      <c r="AW15" s="32"/>
      <c r="AX15" s="32"/>
      <c r="AY15" s="32"/>
    </row>
    <row r="16" spans="1:51" x14ac:dyDescent="0.2">
      <c r="A16" s="15" t="s">
        <v>111</v>
      </c>
      <c r="B16" s="28">
        <v>51.816682999999998</v>
      </c>
      <c r="C16" s="28">
        <v>-1.305917</v>
      </c>
      <c r="D16" t="s">
        <v>135</v>
      </c>
      <c r="E16" s="15" t="s">
        <v>110</v>
      </c>
      <c r="F16" s="15">
        <v>2</v>
      </c>
      <c r="G16" s="15">
        <v>2</v>
      </c>
      <c r="H16" s="15">
        <v>4</v>
      </c>
      <c r="I16" s="15">
        <v>44</v>
      </c>
      <c r="J16" s="15">
        <f t="shared" si="0"/>
        <v>5</v>
      </c>
      <c r="K16" s="15">
        <v>84</v>
      </c>
      <c r="L16" s="15" t="s">
        <v>88</v>
      </c>
      <c r="M16" s="15" t="s">
        <v>104</v>
      </c>
      <c r="N16" s="15" t="s">
        <v>104</v>
      </c>
      <c r="O16" s="15" t="s">
        <v>99</v>
      </c>
      <c r="P16" s="15">
        <v>0</v>
      </c>
      <c r="Q16" s="15">
        <v>11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3</v>
      </c>
      <c r="Y16" s="15">
        <v>0</v>
      </c>
      <c r="Z16" s="15">
        <v>0</v>
      </c>
      <c r="AA16" s="15">
        <v>8</v>
      </c>
      <c r="AB16" s="15">
        <v>3</v>
      </c>
      <c r="AC16" s="15">
        <v>19</v>
      </c>
      <c r="AD16" s="15">
        <v>0</v>
      </c>
      <c r="AE16" s="15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2"/>
      <c r="AV16" s="32"/>
      <c r="AW16" s="32"/>
      <c r="AX16" s="32"/>
      <c r="AY16" s="32"/>
    </row>
    <row r="17" spans="1:51" x14ac:dyDescent="0.2">
      <c r="A17" s="15" t="s">
        <v>112</v>
      </c>
      <c r="B17" s="28">
        <v>51.815632999999998</v>
      </c>
      <c r="C17" s="28">
        <v>-1.2991999999999999</v>
      </c>
      <c r="D17" t="s">
        <v>135</v>
      </c>
      <c r="E17" s="15" t="s">
        <v>96</v>
      </c>
      <c r="F17" s="15">
        <v>4</v>
      </c>
      <c r="G17" s="15">
        <v>3</v>
      </c>
      <c r="H17" s="15">
        <v>12</v>
      </c>
      <c r="I17" s="15">
        <v>18</v>
      </c>
      <c r="J17" s="15">
        <f t="shared" si="0"/>
        <v>5</v>
      </c>
      <c r="K17" s="15">
        <v>179</v>
      </c>
      <c r="L17" s="15" t="s">
        <v>83</v>
      </c>
      <c r="M17" s="15" t="s">
        <v>84</v>
      </c>
      <c r="N17" s="15" t="s">
        <v>85</v>
      </c>
      <c r="O17" s="15" t="s">
        <v>113</v>
      </c>
      <c r="P17" s="15">
        <v>0</v>
      </c>
      <c r="Q17" s="15">
        <v>6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7</v>
      </c>
      <c r="AC17" s="15">
        <v>3</v>
      </c>
      <c r="AD17" s="15">
        <v>1</v>
      </c>
      <c r="AE17" s="15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2"/>
      <c r="AV17" s="32"/>
      <c r="AW17" s="32"/>
      <c r="AX17" s="32"/>
      <c r="AY17" s="32"/>
    </row>
    <row r="18" spans="1:51" x14ac:dyDescent="0.2">
      <c r="A18" s="15" t="s">
        <v>114</v>
      </c>
      <c r="B18" s="28">
        <v>51.815617000000003</v>
      </c>
      <c r="C18" s="28">
        <v>-1.3024169999999999</v>
      </c>
      <c r="D18" t="s">
        <v>135</v>
      </c>
      <c r="E18" s="15" t="s">
        <v>73</v>
      </c>
      <c r="F18" s="15">
        <v>6</v>
      </c>
      <c r="G18" s="15">
        <v>3</v>
      </c>
      <c r="H18" s="15">
        <v>18</v>
      </c>
      <c r="I18" s="15">
        <v>34</v>
      </c>
      <c r="J18" s="15">
        <f t="shared" si="0"/>
        <v>7</v>
      </c>
      <c r="K18" s="15">
        <v>182</v>
      </c>
      <c r="L18" s="15" t="s">
        <v>83</v>
      </c>
      <c r="M18" s="15" t="s">
        <v>85</v>
      </c>
      <c r="N18" s="15" t="s">
        <v>85</v>
      </c>
      <c r="O18" s="15" t="s">
        <v>115</v>
      </c>
      <c r="P18" s="15">
        <v>0</v>
      </c>
      <c r="Q18" s="15">
        <v>10</v>
      </c>
      <c r="R18" s="15">
        <v>0</v>
      </c>
      <c r="S18" s="15">
        <v>0</v>
      </c>
      <c r="T18" s="15">
        <v>0</v>
      </c>
      <c r="U18" s="15">
        <v>1</v>
      </c>
      <c r="V18" s="15">
        <v>0</v>
      </c>
      <c r="W18" s="15">
        <v>0</v>
      </c>
      <c r="X18" s="15">
        <v>5</v>
      </c>
      <c r="Y18" s="15">
        <v>0</v>
      </c>
      <c r="Z18" s="15">
        <v>0</v>
      </c>
      <c r="AA18" s="15">
        <v>10</v>
      </c>
      <c r="AB18" s="15">
        <v>1</v>
      </c>
      <c r="AC18" s="15">
        <v>6</v>
      </c>
      <c r="AD18" s="15">
        <v>1</v>
      </c>
      <c r="AE18" s="15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2"/>
      <c r="AV18" s="32"/>
      <c r="AW18" s="32"/>
      <c r="AX18" s="32"/>
      <c r="AY18" s="32"/>
    </row>
    <row r="19" spans="1:51" x14ac:dyDescent="0.2">
      <c r="A19" s="15" t="s">
        <v>116</v>
      </c>
      <c r="B19" s="28">
        <v>51.813732999999999</v>
      </c>
      <c r="C19" s="28">
        <v>-1.3007169999999999</v>
      </c>
      <c r="D19" t="s">
        <v>135</v>
      </c>
      <c r="E19" s="15" t="s">
        <v>96</v>
      </c>
      <c r="F19" s="15">
        <v>4</v>
      </c>
      <c r="G19" s="15">
        <v>2</v>
      </c>
      <c r="H19" s="15">
        <v>8</v>
      </c>
      <c r="I19" s="15">
        <v>30</v>
      </c>
      <c r="J19" s="15">
        <f t="shared" si="0"/>
        <v>5</v>
      </c>
      <c r="K19" s="15">
        <v>165</v>
      </c>
      <c r="L19" s="15" t="s">
        <v>83</v>
      </c>
      <c r="M19" s="15" t="s">
        <v>76</v>
      </c>
      <c r="N19" s="15" t="s">
        <v>84</v>
      </c>
      <c r="O19" s="15" t="s">
        <v>86</v>
      </c>
      <c r="P19" s="15">
        <v>0</v>
      </c>
      <c r="Q19" s="15">
        <v>9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1</v>
      </c>
      <c r="X19" s="15">
        <v>1</v>
      </c>
      <c r="Y19" s="15">
        <v>0</v>
      </c>
      <c r="Z19" s="15">
        <v>0</v>
      </c>
      <c r="AA19" s="15">
        <v>11</v>
      </c>
      <c r="AB19" s="15">
        <v>0</v>
      </c>
      <c r="AC19" s="15">
        <v>8</v>
      </c>
      <c r="AD19" s="15">
        <v>0</v>
      </c>
      <c r="AE19" s="15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2"/>
      <c r="AV19" s="32"/>
      <c r="AW19" s="32"/>
      <c r="AX19" s="32"/>
      <c r="AY19" s="32"/>
    </row>
    <row r="20" spans="1:51" x14ac:dyDescent="0.2">
      <c r="A20" s="15" t="s">
        <v>117</v>
      </c>
      <c r="B20" s="28">
        <v>51.810867000000002</v>
      </c>
      <c r="C20" s="28">
        <v>-1.3022</v>
      </c>
      <c r="D20" t="s">
        <v>135</v>
      </c>
      <c r="E20" s="15" t="s">
        <v>79</v>
      </c>
      <c r="F20" s="15">
        <v>8</v>
      </c>
      <c r="G20" s="15">
        <v>3</v>
      </c>
      <c r="H20" s="15">
        <v>24</v>
      </c>
      <c r="I20" s="15">
        <v>40</v>
      </c>
      <c r="J20" s="15">
        <f t="shared" si="0"/>
        <v>8</v>
      </c>
      <c r="K20" s="15">
        <v>314</v>
      </c>
      <c r="L20" s="15" t="s">
        <v>103</v>
      </c>
      <c r="M20" s="15" t="s">
        <v>118</v>
      </c>
      <c r="N20" s="15" t="s">
        <v>75</v>
      </c>
      <c r="O20" s="15" t="s">
        <v>86</v>
      </c>
      <c r="P20" s="15">
        <v>0</v>
      </c>
      <c r="Q20" s="15">
        <v>14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2</v>
      </c>
      <c r="X20" s="15">
        <v>1</v>
      </c>
      <c r="Y20" s="15">
        <v>1</v>
      </c>
      <c r="Z20" s="15">
        <v>1</v>
      </c>
      <c r="AA20" s="15">
        <v>5</v>
      </c>
      <c r="AB20" s="15">
        <v>0</v>
      </c>
      <c r="AC20" s="15">
        <v>15</v>
      </c>
      <c r="AD20" s="15">
        <v>1</v>
      </c>
      <c r="AE20" s="15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2"/>
      <c r="AV20" s="32"/>
      <c r="AW20" s="32"/>
      <c r="AX20" s="32"/>
      <c r="AY20" s="32"/>
    </row>
    <row r="21" spans="1:51" x14ac:dyDescent="0.2">
      <c r="A21" s="15" t="s">
        <v>119</v>
      </c>
      <c r="B21" s="28">
        <v>51.818550000000002</v>
      </c>
      <c r="C21" s="28">
        <v>-1.2959670000000001</v>
      </c>
      <c r="D21" t="s">
        <v>135</v>
      </c>
      <c r="E21" s="15" t="s">
        <v>79</v>
      </c>
      <c r="F21" s="15">
        <v>8</v>
      </c>
      <c r="G21" s="15">
        <v>3</v>
      </c>
      <c r="H21" s="15">
        <v>24</v>
      </c>
      <c r="I21" s="15">
        <v>30</v>
      </c>
      <c r="J21" s="15">
        <f t="shared" si="0"/>
        <v>5</v>
      </c>
      <c r="K21" s="15">
        <v>211</v>
      </c>
      <c r="L21" s="15" t="s">
        <v>74</v>
      </c>
      <c r="M21" s="15" t="s">
        <v>118</v>
      </c>
      <c r="N21" s="15" t="s">
        <v>89</v>
      </c>
      <c r="O21" s="15" t="s">
        <v>115</v>
      </c>
      <c r="P21" s="15">
        <v>0</v>
      </c>
      <c r="Q21" s="15">
        <v>9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3</v>
      </c>
      <c r="X21" s="15">
        <v>3</v>
      </c>
      <c r="Y21" s="15">
        <v>0</v>
      </c>
      <c r="Z21" s="15">
        <v>0</v>
      </c>
      <c r="AA21" s="15">
        <v>3</v>
      </c>
      <c r="AB21" s="15">
        <v>0</v>
      </c>
      <c r="AC21" s="15">
        <v>12</v>
      </c>
      <c r="AD21" s="15">
        <v>0</v>
      </c>
      <c r="AE21" s="15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2"/>
      <c r="AV21" s="32"/>
      <c r="AW21" s="32"/>
      <c r="AX21" s="32"/>
      <c r="AY21" s="32"/>
    </row>
    <row r="22" spans="1:51" x14ac:dyDescent="0.2">
      <c r="A22" s="15" t="s">
        <v>120</v>
      </c>
      <c r="B22" s="28">
        <v>51.816716999999997</v>
      </c>
      <c r="C22" s="28">
        <v>-1.293917</v>
      </c>
      <c r="D22" t="s">
        <v>135</v>
      </c>
      <c r="E22" s="15" t="s">
        <v>79</v>
      </c>
      <c r="F22" s="15">
        <v>8</v>
      </c>
      <c r="G22" s="15">
        <v>2</v>
      </c>
      <c r="H22" s="15">
        <v>16</v>
      </c>
      <c r="I22" s="15">
        <v>31</v>
      </c>
      <c r="J22" s="15">
        <f t="shared" si="0"/>
        <v>9</v>
      </c>
      <c r="K22" s="15">
        <v>174</v>
      </c>
      <c r="L22" s="15" t="s">
        <v>83</v>
      </c>
      <c r="M22" s="15" t="s">
        <v>89</v>
      </c>
      <c r="N22" s="15" t="s">
        <v>85</v>
      </c>
      <c r="O22" s="15" t="s">
        <v>121</v>
      </c>
      <c r="P22" s="15">
        <v>0</v>
      </c>
      <c r="Q22" s="15">
        <v>8</v>
      </c>
      <c r="R22" s="15">
        <v>1</v>
      </c>
      <c r="S22" s="15">
        <v>0</v>
      </c>
      <c r="T22" s="15">
        <v>0</v>
      </c>
      <c r="U22" s="15">
        <v>1</v>
      </c>
      <c r="V22" s="15">
        <v>0</v>
      </c>
      <c r="W22" s="15">
        <v>0</v>
      </c>
      <c r="X22" s="15">
        <v>3</v>
      </c>
      <c r="Y22" s="15">
        <v>1</v>
      </c>
      <c r="Z22" s="15">
        <v>2</v>
      </c>
      <c r="AA22" s="15">
        <v>6</v>
      </c>
      <c r="AB22" s="15">
        <v>1</v>
      </c>
      <c r="AC22" s="15">
        <v>8</v>
      </c>
      <c r="AD22" s="15">
        <v>0</v>
      </c>
      <c r="AE22" s="15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2"/>
      <c r="AV22" s="32"/>
      <c r="AW22" s="32"/>
      <c r="AX22" s="32"/>
      <c r="AY22" s="32"/>
    </row>
    <row r="23" spans="1:51" x14ac:dyDescent="0.2">
      <c r="A23" s="15" t="s">
        <v>122</v>
      </c>
      <c r="B23" s="28">
        <v>51.815533000000002</v>
      </c>
      <c r="C23" s="28">
        <v>-1.2947500000000001</v>
      </c>
      <c r="D23" t="s">
        <v>135</v>
      </c>
      <c r="E23" s="15" t="s">
        <v>73</v>
      </c>
      <c r="F23" s="15">
        <v>6</v>
      </c>
      <c r="G23" s="15">
        <v>3</v>
      </c>
      <c r="H23" s="15">
        <v>18</v>
      </c>
      <c r="I23" s="15">
        <v>49</v>
      </c>
      <c r="J23" s="15">
        <f t="shared" si="0"/>
        <v>8</v>
      </c>
      <c r="K23" s="15">
        <v>350</v>
      </c>
      <c r="L23" s="15" t="s">
        <v>97</v>
      </c>
      <c r="M23" s="15" t="s">
        <v>89</v>
      </c>
      <c r="N23" s="15" t="s">
        <v>85</v>
      </c>
      <c r="O23" s="15" t="s">
        <v>121</v>
      </c>
      <c r="P23" s="15">
        <v>0</v>
      </c>
      <c r="Q23" s="15">
        <v>14</v>
      </c>
      <c r="R23" s="15">
        <v>0</v>
      </c>
      <c r="S23" s="15">
        <v>0</v>
      </c>
      <c r="T23" s="15">
        <v>0</v>
      </c>
      <c r="U23" s="15">
        <v>1</v>
      </c>
      <c r="V23" s="15">
        <v>0</v>
      </c>
      <c r="W23" s="15">
        <v>1</v>
      </c>
      <c r="X23" s="15">
        <v>3</v>
      </c>
      <c r="Y23" s="15">
        <v>0</v>
      </c>
      <c r="Z23" s="15">
        <v>2</v>
      </c>
      <c r="AA23" s="15">
        <v>12</v>
      </c>
      <c r="AB23" s="15">
        <v>0</v>
      </c>
      <c r="AC23" s="15">
        <v>14</v>
      </c>
      <c r="AD23" s="15">
        <v>2</v>
      </c>
      <c r="AE23" s="15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2"/>
      <c r="AV23" s="32"/>
      <c r="AW23" s="32"/>
      <c r="AX23" s="32"/>
      <c r="AY23" s="32"/>
    </row>
    <row r="24" spans="1:51" x14ac:dyDescent="0.2">
      <c r="A24" s="15" t="s">
        <v>123</v>
      </c>
      <c r="B24" s="28">
        <v>51.815832999999998</v>
      </c>
      <c r="C24" s="28">
        <v>-1.29295</v>
      </c>
      <c r="D24" t="s">
        <v>135</v>
      </c>
      <c r="E24" s="15" t="s">
        <v>73</v>
      </c>
      <c r="F24" s="15">
        <v>6</v>
      </c>
      <c r="G24" s="15">
        <v>3</v>
      </c>
      <c r="H24" s="15">
        <v>18</v>
      </c>
      <c r="I24" s="15">
        <v>62</v>
      </c>
      <c r="J24" s="15">
        <f t="shared" si="0"/>
        <v>6</v>
      </c>
      <c r="K24" s="15">
        <v>161</v>
      </c>
      <c r="L24" s="15" t="s">
        <v>124</v>
      </c>
      <c r="M24" s="15" t="s">
        <v>76</v>
      </c>
      <c r="N24" s="15" t="s">
        <v>85</v>
      </c>
      <c r="O24" s="15" t="s">
        <v>121</v>
      </c>
      <c r="P24" s="15">
        <v>0</v>
      </c>
      <c r="Q24" s="15">
        <v>14</v>
      </c>
      <c r="R24" s="15">
        <v>0</v>
      </c>
      <c r="S24" s="15">
        <v>3</v>
      </c>
      <c r="T24" s="15">
        <v>0</v>
      </c>
      <c r="U24" s="15">
        <v>4</v>
      </c>
      <c r="V24" s="15">
        <v>0</v>
      </c>
      <c r="W24" s="15">
        <v>0</v>
      </c>
      <c r="X24" s="15">
        <v>5</v>
      </c>
      <c r="Y24" s="15">
        <v>0</v>
      </c>
      <c r="Z24" s="15">
        <v>0</v>
      </c>
      <c r="AA24" s="15">
        <v>15</v>
      </c>
      <c r="AB24" s="15">
        <v>0</v>
      </c>
      <c r="AC24" s="15">
        <v>21</v>
      </c>
      <c r="AD24" s="15">
        <v>0</v>
      </c>
      <c r="AE24" s="15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2"/>
      <c r="AV24" s="32"/>
      <c r="AW24" s="32"/>
      <c r="AX24" s="32"/>
      <c r="AY24" s="32"/>
    </row>
    <row r="25" spans="1:51" x14ac:dyDescent="0.2">
      <c r="A25" s="15" t="s">
        <v>125</v>
      </c>
      <c r="B25" s="28">
        <v>51.815133000000003</v>
      </c>
      <c r="C25" s="28">
        <v>-1.2927</v>
      </c>
      <c r="D25" t="s">
        <v>135</v>
      </c>
      <c r="E25" s="15" t="s">
        <v>79</v>
      </c>
      <c r="F25" s="15">
        <v>8</v>
      </c>
      <c r="G25" s="15">
        <v>3</v>
      </c>
      <c r="H25" s="15">
        <v>24</v>
      </c>
      <c r="I25" s="15">
        <v>46</v>
      </c>
      <c r="J25" s="15">
        <f t="shared" si="0"/>
        <v>8</v>
      </c>
      <c r="K25" s="15">
        <v>287</v>
      </c>
      <c r="L25" s="15" t="s">
        <v>92</v>
      </c>
      <c r="M25" s="15" t="s">
        <v>81</v>
      </c>
      <c r="N25" s="15" t="s">
        <v>89</v>
      </c>
      <c r="O25" s="15" t="s">
        <v>121</v>
      </c>
      <c r="P25" s="15">
        <v>0</v>
      </c>
      <c r="Q25" s="15">
        <v>13</v>
      </c>
      <c r="R25" s="15">
        <v>0</v>
      </c>
      <c r="S25" s="15">
        <v>0</v>
      </c>
      <c r="T25" s="15">
        <v>0</v>
      </c>
      <c r="U25" s="15">
        <v>1</v>
      </c>
      <c r="V25" s="15">
        <v>0</v>
      </c>
      <c r="W25" s="15">
        <v>4</v>
      </c>
      <c r="X25" s="15">
        <v>5</v>
      </c>
      <c r="Y25" s="15">
        <v>0</v>
      </c>
      <c r="Z25" s="15">
        <v>0</v>
      </c>
      <c r="AA25" s="15">
        <v>12</v>
      </c>
      <c r="AB25" s="15">
        <v>1</v>
      </c>
      <c r="AC25" s="15">
        <v>9</v>
      </c>
      <c r="AD25" s="15">
        <v>1</v>
      </c>
      <c r="AE25" s="15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2"/>
      <c r="AV25" s="32"/>
      <c r="AW25" s="32"/>
      <c r="AX25" s="32"/>
      <c r="AY25" s="32"/>
    </row>
    <row r="26" spans="1:51" x14ac:dyDescent="0.2">
      <c r="A26" s="15" t="s">
        <v>126</v>
      </c>
      <c r="B26" s="28">
        <v>51.815100000000001</v>
      </c>
      <c r="C26" s="28">
        <v>-1.2924329999999999</v>
      </c>
      <c r="D26" t="s">
        <v>135</v>
      </c>
      <c r="E26" s="15" t="s">
        <v>79</v>
      </c>
      <c r="F26" s="15">
        <v>8</v>
      </c>
      <c r="G26" s="15">
        <v>3</v>
      </c>
      <c r="H26" s="15">
        <v>24</v>
      </c>
      <c r="I26" s="15">
        <v>36</v>
      </c>
      <c r="J26" s="15">
        <f t="shared" si="0"/>
        <v>6</v>
      </c>
      <c r="K26" s="15">
        <v>117</v>
      </c>
      <c r="L26" s="15" t="s">
        <v>80</v>
      </c>
      <c r="M26" s="15" t="s">
        <v>81</v>
      </c>
      <c r="N26" s="15" t="s">
        <v>89</v>
      </c>
      <c r="O26" s="15" t="s">
        <v>113</v>
      </c>
      <c r="P26" s="15">
        <v>0</v>
      </c>
      <c r="Q26" s="15">
        <v>11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2</v>
      </c>
      <c r="X26" s="15">
        <v>1</v>
      </c>
      <c r="Y26" s="15">
        <v>0</v>
      </c>
      <c r="Z26" s="15">
        <v>0</v>
      </c>
      <c r="AA26" s="15">
        <v>14</v>
      </c>
      <c r="AB26" s="15">
        <v>0</v>
      </c>
      <c r="AC26" s="15">
        <v>7</v>
      </c>
      <c r="AD26" s="15">
        <v>1</v>
      </c>
      <c r="AE26" s="15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2"/>
      <c r="AV26" s="32"/>
      <c r="AW26" s="32"/>
      <c r="AX26" s="32"/>
      <c r="AY26" s="32"/>
    </row>
    <row r="27" spans="1:51" x14ac:dyDescent="0.2">
      <c r="A27" s="15" t="s">
        <v>127</v>
      </c>
      <c r="B27" s="28">
        <v>51.812600000000003</v>
      </c>
      <c r="C27" s="28">
        <v>-1.293833</v>
      </c>
      <c r="D27" t="s">
        <v>135</v>
      </c>
      <c r="E27" s="15" t="s">
        <v>79</v>
      </c>
      <c r="F27" s="15">
        <v>8</v>
      </c>
      <c r="G27" s="15">
        <v>3</v>
      </c>
      <c r="H27" s="15">
        <v>24</v>
      </c>
      <c r="I27" s="15">
        <v>59</v>
      </c>
      <c r="J27" s="15">
        <f t="shared" si="0"/>
        <v>6</v>
      </c>
      <c r="K27" s="15">
        <v>102</v>
      </c>
      <c r="L27" s="15" t="s">
        <v>88</v>
      </c>
      <c r="M27" s="15" t="s">
        <v>89</v>
      </c>
      <c r="N27" s="15" t="s">
        <v>75</v>
      </c>
      <c r="O27" s="15" t="s">
        <v>113</v>
      </c>
      <c r="P27" s="15">
        <v>0</v>
      </c>
      <c r="Q27" s="15">
        <v>15</v>
      </c>
      <c r="R27" s="15">
        <v>0</v>
      </c>
      <c r="S27" s="15">
        <v>0</v>
      </c>
      <c r="T27" s="15">
        <v>0</v>
      </c>
      <c r="U27" s="15">
        <v>2</v>
      </c>
      <c r="V27" s="15">
        <v>0</v>
      </c>
      <c r="W27" s="15">
        <v>5</v>
      </c>
      <c r="X27" s="15">
        <v>8</v>
      </c>
      <c r="Y27" s="15">
        <v>0</v>
      </c>
      <c r="Z27" s="15">
        <v>0</v>
      </c>
      <c r="AA27" s="15">
        <v>20</v>
      </c>
      <c r="AB27" s="15">
        <v>0</v>
      </c>
      <c r="AC27" s="15">
        <v>9</v>
      </c>
      <c r="AD27" s="15">
        <v>0</v>
      </c>
      <c r="AE27" s="15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2"/>
      <c r="AV27" s="32"/>
      <c r="AW27" s="32"/>
      <c r="AX27" s="32"/>
      <c r="AY27" s="32"/>
    </row>
    <row r="28" spans="1:51" x14ac:dyDescent="0.2">
      <c r="A28" s="15" t="s">
        <v>128</v>
      </c>
      <c r="B28" s="28">
        <v>51.809583000000003</v>
      </c>
      <c r="C28" s="28">
        <v>-1.2956669999999999</v>
      </c>
      <c r="D28" t="s">
        <v>135</v>
      </c>
      <c r="E28" s="15" t="s">
        <v>79</v>
      </c>
      <c r="F28" s="15">
        <v>8</v>
      </c>
      <c r="G28" s="15">
        <v>3</v>
      </c>
      <c r="H28" s="15">
        <v>24</v>
      </c>
      <c r="I28" s="15">
        <v>76</v>
      </c>
      <c r="J28" s="15">
        <f t="shared" si="0"/>
        <v>8</v>
      </c>
      <c r="K28" s="15">
        <v>98</v>
      </c>
      <c r="L28" s="15" t="s">
        <v>88</v>
      </c>
      <c r="M28" s="15" t="s">
        <v>75</v>
      </c>
      <c r="N28" s="15" t="s">
        <v>75</v>
      </c>
      <c r="O28" s="15" t="s">
        <v>113</v>
      </c>
      <c r="P28" s="15">
        <v>0</v>
      </c>
      <c r="Q28" s="15">
        <v>24</v>
      </c>
      <c r="R28" s="15">
        <v>0</v>
      </c>
      <c r="S28" s="15">
        <v>0</v>
      </c>
      <c r="T28" s="15">
        <v>0</v>
      </c>
      <c r="U28" s="15">
        <v>1</v>
      </c>
      <c r="V28" s="15">
        <v>0</v>
      </c>
      <c r="W28" s="15">
        <v>1</v>
      </c>
      <c r="X28" s="15">
        <v>10</v>
      </c>
      <c r="Y28" s="15">
        <v>0</v>
      </c>
      <c r="Z28" s="15">
        <v>0</v>
      </c>
      <c r="AA28" s="15">
        <v>34</v>
      </c>
      <c r="AB28" s="15">
        <v>1</v>
      </c>
      <c r="AC28" s="15">
        <v>3</v>
      </c>
      <c r="AD28" s="15">
        <v>2</v>
      </c>
      <c r="AE28" s="15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2"/>
      <c r="AV28" s="32"/>
      <c r="AW28" s="32"/>
      <c r="AX28" s="32"/>
      <c r="AY28" s="32"/>
    </row>
    <row r="29" spans="1:51" x14ac:dyDescent="0.2">
      <c r="A29" s="15" t="s">
        <v>129</v>
      </c>
      <c r="B29" s="28">
        <v>51.807749999999999</v>
      </c>
      <c r="C29" s="28">
        <v>-1.29295</v>
      </c>
      <c r="D29" t="s">
        <v>135</v>
      </c>
      <c r="E29" s="15" t="s">
        <v>79</v>
      </c>
      <c r="F29" s="15">
        <v>8</v>
      </c>
      <c r="G29" s="15">
        <v>2</v>
      </c>
      <c r="H29" s="15">
        <v>16</v>
      </c>
      <c r="I29" s="15">
        <v>50</v>
      </c>
      <c r="J29" s="15">
        <f t="shared" si="0"/>
        <v>9</v>
      </c>
      <c r="K29" s="15">
        <v>285</v>
      </c>
      <c r="L29" s="15" t="s">
        <v>92</v>
      </c>
      <c r="M29" s="15" t="s">
        <v>75</v>
      </c>
      <c r="N29" s="15" t="s">
        <v>89</v>
      </c>
      <c r="O29" s="15" t="s">
        <v>113</v>
      </c>
      <c r="P29" s="15">
        <v>0</v>
      </c>
      <c r="Q29" s="15">
        <v>13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8</v>
      </c>
      <c r="X29" s="15">
        <v>7</v>
      </c>
      <c r="Y29" s="15">
        <v>0</v>
      </c>
      <c r="Z29" s="15">
        <v>3</v>
      </c>
      <c r="AA29" s="15">
        <v>4</v>
      </c>
      <c r="AB29" s="15">
        <v>2</v>
      </c>
      <c r="AC29" s="15">
        <v>11</v>
      </c>
      <c r="AD29" s="15">
        <v>1</v>
      </c>
      <c r="AE29" s="15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2"/>
      <c r="AV29" s="32"/>
      <c r="AW29" s="32"/>
      <c r="AX29" s="32"/>
      <c r="AY29" s="32"/>
    </row>
    <row r="30" spans="1:51" x14ac:dyDescent="0.2">
      <c r="A30" s="15" t="s">
        <v>130</v>
      </c>
      <c r="B30" s="28">
        <v>51.808599999999998</v>
      </c>
      <c r="C30" s="28">
        <v>-1.288683</v>
      </c>
      <c r="D30" t="s">
        <v>135</v>
      </c>
      <c r="E30" s="15" t="s">
        <v>73</v>
      </c>
      <c r="F30" s="15">
        <v>6</v>
      </c>
      <c r="G30" s="15">
        <v>3</v>
      </c>
      <c r="H30" s="15">
        <v>18</v>
      </c>
      <c r="I30" s="15">
        <v>62</v>
      </c>
      <c r="J30" s="15">
        <f t="shared" si="0"/>
        <v>6</v>
      </c>
      <c r="K30" s="15">
        <v>274</v>
      </c>
      <c r="L30" s="15" t="s">
        <v>92</v>
      </c>
      <c r="M30" s="15" t="s">
        <v>76</v>
      </c>
      <c r="N30" s="15" t="s">
        <v>89</v>
      </c>
      <c r="O30" s="15" t="s">
        <v>113</v>
      </c>
      <c r="P30" s="15">
        <v>0</v>
      </c>
      <c r="Q30" s="15">
        <v>15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4</v>
      </c>
      <c r="X30" s="15">
        <v>18</v>
      </c>
      <c r="Y30" s="15">
        <v>0</v>
      </c>
      <c r="Z30" s="15">
        <v>0</v>
      </c>
      <c r="AA30" s="15">
        <v>9</v>
      </c>
      <c r="AB30" s="15">
        <v>5</v>
      </c>
      <c r="AC30" s="15">
        <v>11</v>
      </c>
      <c r="AD30" s="15">
        <v>0</v>
      </c>
      <c r="AE30" s="15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2"/>
      <c r="AV30" s="32"/>
      <c r="AW30" s="32"/>
      <c r="AX30" s="32"/>
      <c r="AY30" s="32"/>
    </row>
    <row r="31" spans="1:51" x14ac:dyDescent="0.2">
      <c r="A31" s="15" t="s">
        <v>131</v>
      </c>
      <c r="B31" s="28">
        <v>51.811216999999999</v>
      </c>
      <c r="C31" s="28">
        <v>-1.2882830000000001</v>
      </c>
      <c r="D31" t="s">
        <v>135</v>
      </c>
      <c r="E31" s="15" t="s">
        <v>73</v>
      </c>
      <c r="F31" s="15">
        <v>6</v>
      </c>
      <c r="G31" s="15">
        <v>3</v>
      </c>
      <c r="H31" s="15">
        <v>18</v>
      </c>
      <c r="I31" s="15">
        <v>62</v>
      </c>
      <c r="J31" s="15">
        <f t="shared" si="0"/>
        <v>9</v>
      </c>
      <c r="K31" s="15">
        <v>278</v>
      </c>
      <c r="L31" s="15" t="s">
        <v>92</v>
      </c>
      <c r="M31" s="15" t="s">
        <v>76</v>
      </c>
      <c r="N31" s="15" t="s">
        <v>75</v>
      </c>
      <c r="O31" s="15" t="s">
        <v>113</v>
      </c>
      <c r="P31" s="15">
        <v>0</v>
      </c>
      <c r="Q31" s="15">
        <v>18</v>
      </c>
      <c r="R31" s="15">
        <v>0</v>
      </c>
      <c r="S31" s="15">
        <v>0</v>
      </c>
      <c r="T31" s="15">
        <v>1</v>
      </c>
      <c r="U31" s="15">
        <v>2</v>
      </c>
      <c r="V31" s="15">
        <v>0</v>
      </c>
      <c r="W31" s="15">
        <v>0</v>
      </c>
      <c r="X31" s="15">
        <v>4</v>
      </c>
      <c r="Y31" s="15">
        <v>1</v>
      </c>
      <c r="Z31" s="15">
        <v>1</v>
      </c>
      <c r="AA31" s="15">
        <v>16</v>
      </c>
      <c r="AB31" s="15">
        <v>5</v>
      </c>
      <c r="AC31" s="15">
        <v>14</v>
      </c>
      <c r="AD31" s="15">
        <v>0</v>
      </c>
      <c r="AE31" s="15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2"/>
      <c r="AV31" s="32"/>
      <c r="AW31" s="32"/>
      <c r="AX31" s="32"/>
      <c r="AY31" s="32"/>
    </row>
    <row r="32" spans="1:51" x14ac:dyDescent="0.2">
      <c r="A32" s="15" t="s">
        <v>72</v>
      </c>
      <c r="B32" s="28">
        <v>51.822099999999999</v>
      </c>
      <c r="C32" s="28">
        <v>-1.2992330000000001</v>
      </c>
      <c r="D32" t="s">
        <v>136</v>
      </c>
      <c r="E32" s="15" t="s">
        <v>73</v>
      </c>
      <c r="F32" s="15">
        <v>6</v>
      </c>
      <c r="G32" s="15">
        <v>3</v>
      </c>
      <c r="H32" s="15">
        <v>18</v>
      </c>
      <c r="I32" s="15">
        <v>52</v>
      </c>
      <c r="J32" s="15">
        <f t="shared" si="0"/>
        <v>7</v>
      </c>
      <c r="K32" s="20">
        <v>225</v>
      </c>
      <c r="L32" s="15" t="s">
        <v>74</v>
      </c>
      <c r="M32" s="15" t="s">
        <v>75</v>
      </c>
      <c r="N32" s="15" t="s">
        <v>76</v>
      </c>
      <c r="O32" s="15" t="s">
        <v>77</v>
      </c>
      <c r="P32" s="15">
        <v>0</v>
      </c>
      <c r="Q32" s="15">
        <v>19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3</v>
      </c>
      <c r="X32" s="15">
        <v>1</v>
      </c>
      <c r="Y32" s="15">
        <v>0</v>
      </c>
      <c r="Z32" s="15">
        <v>1</v>
      </c>
      <c r="AA32" s="15">
        <v>12</v>
      </c>
      <c r="AB32" s="15">
        <v>2</v>
      </c>
      <c r="AC32" s="15">
        <v>14</v>
      </c>
      <c r="AD32" s="15">
        <v>0</v>
      </c>
      <c r="AE32" s="15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2"/>
      <c r="AV32" s="32"/>
      <c r="AW32" s="32"/>
      <c r="AX32" s="32"/>
      <c r="AY32" s="32"/>
    </row>
    <row r="33" spans="1:51" x14ac:dyDescent="0.2">
      <c r="A33" s="15" t="s">
        <v>78</v>
      </c>
      <c r="B33" s="28">
        <v>51.822516999999998</v>
      </c>
      <c r="C33" s="28">
        <v>-1.3022499999999999</v>
      </c>
      <c r="D33" t="s">
        <v>136</v>
      </c>
      <c r="E33" s="15" t="s">
        <v>79</v>
      </c>
      <c r="F33" s="15">
        <v>8</v>
      </c>
      <c r="G33" s="15">
        <v>3</v>
      </c>
      <c r="H33" s="15">
        <v>24</v>
      </c>
      <c r="I33" s="15">
        <v>70</v>
      </c>
      <c r="J33" s="15">
        <f t="shared" si="0"/>
        <v>6</v>
      </c>
      <c r="K33" s="15">
        <v>150</v>
      </c>
      <c r="L33" s="15" t="s">
        <v>80</v>
      </c>
      <c r="M33" s="15" t="s">
        <v>81</v>
      </c>
      <c r="N33" s="15" t="s">
        <v>75</v>
      </c>
      <c r="O33" s="15" t="s">
        <v>77</v>
      </c>
      <c r="P33" s="15">
        <v>0</v>
      </c>
      <c r="Q33" s="15">
        <v>17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3</v>
      </c>
      <c r="Y33" s="15">
        <v>0</v>
      </c>
      <c r="Z33" s="15">
        <v>1</v>
      </c>
      <c r="AA33" s="15">
        <v>20</v>
      </c>
      <c r="AB33" s="15">
        <v>5</v>
      </c>
      <c r="AC33" s="15">
        <v>24</v>
      </c>
      <c r="AD33" s="15">
        <v>0</v>
      </c>
      <c r="AE33" s="15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2"/>
      <c r="AV33" s="32"/>
      <c r="AW33" s="32"/>
      <c r="AX33" s="32"/>
      <c r="AY33" s="32"/>
    </row>
    <row r="34" spans="1:51" x14ac:dyDescent="0.2">
      <c r="A34" s="15" t="s">
        <v>82</v>
      </c>
      <c r="B34" s="28">
        <v>51.823616999999999</v>
      </c>
      <c r="C34" s="28">
        <v>-1.3056000000000001</v>
      </c>
      <c r="D34" t="s">
        <v>136</v>
      </c>
      <c r="E34" s="15" t="s">
        <v>73</v>
      </c>
      <c r="F34" s="15">
        <v>6</v>
      </c>
      <c r="G34" s="15">
        <v>3</v>
      </c>
      <c r="H34" s="15">
        <v>18</v>
      </c>
      <c r="I34" s="15">
        <v>49</v>
      </c>
      <c r="J34" s="15">
        <f t="shared" si="0"/>
        <v>8</v>
      </c>
      <c r="K34" s="15">
        <v>179</v>
      </c>
      <c r="L34" s="15" t="s">
        <v>83</v>
      </c>
      <c r="M34" s="15" t="s">
        <v>84</v>
      </c>
      <c r="N34" s="15" t="s">
        <v>85</v>
      </c>
      <c r="O34" s="15" t="s">
        <v>86</v>
      </c>
      <c r="P34" s="15">
        <v>0</v>
      </c>
      <c r="Q34" s="15">
        <v>25</v>
      </c>
      <c r="R34" s="15">
        <v>0</v>
      </c>
      <c r="S34" s="15">
        <v>1</v>
      </c>
      <c r="T34" s="15">
        <v>0</v>
      </c>
      <c r="U34" s="15">
        <v>0</v>
      </c>
      <c r="V34" s="15">
        <v>0</v>
      </c>
      <c r="W34" s="15">
        <v>1</v>
      </c>
      <c r="X34" s="15">
        <v>2</v>
      </c>
      <c r="Y34" s="15">
        <v>1</v>
      </c>
      <c r="Z34" s="15">
        <v>0</v>
      </c>
      <c r="AA34" s="15">
        <v>3</v>
      </c>
      <c r="AB34" s="15">
        <v>4</v>
      </c>
      <c r="AC34" s="15">
        <v>12</v>
      </c>
      <c r="AD34" s="15">
        <v>0</v>
      </c>
      <c r="AE34" s="15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2"/>
      <c r="AV34" s="32"/>
      <c r="AW34" s="32"/>
      <c r="AX34" s="32"/>
      <c r="AY34" s="32"/>
    </row>
    <row r="35" spans="1:51" x14ac:dyDescent="0.2">
      <c r="A35" s="15" t="s">
        <v>87</v>
      </c>
      <c r="B35" s="28">
        <v>51.822032999999998</v>
      </c>
      <c r="C35" s="28">
        <v>-1.30945</v>
      </c>
      <c r="D35" t="s">
        <v>136</v>
      </c>
      <c r="E35" s="15" t="s">
        <v>73</v>
      </c>
      <c r="F35" s="15">
        <v>6</v>
      </c>
      <c r="G35" s="15">
        <v>3</v>
      </c>
      <c r="H35" s="15">
        <v>18</v>
      </c>
      <c r="I35" s="15">
        <v>37</v>
      </c>
      <c r="J35" s="15">
        <f t="shared" si="0"/>
        <v>7</v>
      </c>
      <c r="K35" s="15">
        <v>88</v>
      </c>
      <c r="L35" s="15" t="s">
        <v>88</v>
      </c>
      <c r="M35" s="15" t="s">
        <v>81</v>
      </c>
      <c r="N35" s="15" t="s">
        <v>89</v>
      </c>
      <c r="O35" s="15" t="s">
        <v>86</v>
      </c>
      <c r="P35" s="15">
        <v>0</v>
      </c>
      <c r="Q35" s="15">
        <v>13</v>
      </c>
      <c r="R35" s="15">
        <v>0</v>
      </c>
      <c r="S35" s="15">
        <v>0</v>
      </c>
      <c r="T35" s="15">
        <v>0</v>
      </c>
      <c r="U35" s="15">
        <v>2</v>
      </c>
      <c r="V35" s="15">
        <v>0</v>
      </c>
      <c r="W35" s="15">
        <v>0</v>
      </c>
      <c r="X35" s="15">
        <v>3</v>
      </c>
      <c r="Y35" s="15">
        <v>0</v>
      </c>
      <c r="Z35" s="15">
        <v>0</v>
      </c>
      <c r="AA35" s="15">
        <v>10</v>
      </c>
      <c r="AB35" s="15">
        <v>2</v>
      </c>
      <c r="AC35" s="15">
        <v>5</v>
      </c>
      <c r="AD35" s="15">
        <v>2</v>
      </c>
      <c r="AE35" s="15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2"/>
      <c r="AV35" s="32"/>
      <c r="AW35" s="32"/>
      <c r="AX35" s="32"/>
      <c r="AY35" s="32"/>
    </row>
    <row r="36" spans="1:51" x14ac:dyDescent="0.2">
      <c r="A36" s="15" t="s">
        <v>90</v>
      </c>
      <c r="B36" s="28">
        <v>51.820900000000002</v>
      </c>
      <c r="C36" s="28">
        <v>-1.3093669999999999</v>
      </c>
      <c r="D36" t="s">
        <v>136</v>
      </c>
      <c r="E36" s="15" t="s">
        <v>91</v>
      </c>
      <c r="F36" s="15">
        <v>2</v>
      </c>
      <c r="G36" s="15">
        <v>2</v>
      </c>
      <c r="H36" s="15">
        <v>4</v>
      </c>
      <c r="I36" s="15">
        <v>39</v>
      </c>
      <c r="J36" s="15">
        <f t="shared" si="0"/>
        <v>7</v>
      </c>
      <c r="K36" s="15">
        <v>255</v>
      </c>
      <c r="L36" s="15" t="s">
        <v>92</v>
      </c>
      <c r="M36" s="15" t="s">
        <v>85</v>
      </c>
      <c r="N36" s="15" t="s">
        <v>84</v>
      </c>
      <c r="O36" s="15" t="s">
        <v>86</v>
      </c>
      <c r="P36" s="15">
        <v>0</v>
      </c>
      <c r="Q36" s="15">
        <v>14</v>
      </c>
      <c r="R36" s="15">
        <v>0</v>
      </c>
      <c r="S36" s="15">
        <v>1</v>
      </c>
      <c r="T36" s="15">
        <v>0</v>
      </c>
      <c r="U36" s="15">
        <v>1</v>
      </c>
      <c r="V36" s="15">
        <v>0</v>
      </c>
      <c r="W36" s="15">
        <v>0</v>
      </c>
      <c r="X36" s="15">
        <v>5</v>
      </c>
      <c r="Y36" s="15">
        <v>0</v>
      </c>
      <c r="Z36" s="15">
        <v>0</v>
      </c>
      <c r="AA36" s="15">
        <v>8</v>
      </c>
      <c r="AB36" s="15">
        <v>3</v>
      </c>
      <c r="AC36" s="15">
        <v>7</v>
      </c>
      <c r="AD36" s="15">
        <v>0</v>
      </c>
      <c r="AE36" s="15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2"/>
      <c r="AV36" s="32"/>
      <c r="AW36" s="32"/>
      <c r="AX36" s="32"/>
      <c r="AY36" s="32"/>
    </row>
    <row r="37" spans="1:51" x14ac:dyDescent="0.2">
      <c r="A37" s="15" t="s">
        <v>93</v>
      </c>
      <c r="B37" s="28">
        <v>51.818367000000002</v>
      </c>
      <c r="C37" s="28">
        <v>-1.3125830000000001</v>
      </c>
      <c r="D37" t="s">
        <v>136</v>
      </c>
      <c r="E37" s="15" t="s">
        <v>73</v>
      </c>
      <c r="F37" s="15">
        <v>6</v>
      </c>
      <c r="G37" s="15">
        <v>2</v>
      </c>
      <c r="H37" s="15">
        <v>12</v>
      </c>
      <c r="I37" s="15">
        <v>25</v>
      </c>
      <c r="J37" s="15">
        <f t="shared" si="0"/>
        <v>8</v>
      </c>
      <c r="K37" s="15">
        <v>255</v>
      </c>
      <c r="L37" s="15" t="s">
        <v>92</v>
      </c>
      <c r="M37" s="15" t="s">
        <v>75</v>
      </c>
      <c r="N37" s="15" t="s">
        <v>85</v>
      </c>
      <c r="O37" s="15" t="s">
        <v>94</v>
      </c>
      <c r="P37" s="15">
        <v>0</v>
      </c>
      <c r="Q37" s="15">
        <v>5</v>
      </c>
      <c r="R37" s="15">
        <v>1</v>
      </c>
      <c r="S37" s="15">
        <v>0</v>
      </c>
      <c r="T37" s="15">
        <v>0</v>
      </c>
      <c r="U37" s="15">
        <v>2</v>
      </c>
      <c r="V37" s="15">
        <v>0</v>
      </c>
      <c r="W37" s="15">
        <v>1</v>
      </c>
      <c r="X37" s="15">
        <v>3</v>
      </c>
      <c r="Y37" s="15">
        <v>0</v>
      </c>
      <c r="Z37" s="15">
        <v>0</v>
      </c>
      <c r="AA37" s="15">
        <v>5</v>
      </c>
      <c r="AB37" s="15">
        <v>3</v>
      </c>
      <c r="AC37" s="15">
        <v>5</v>
      </c>
      <c r="AD37" s="15">
        <v>0</v>
      </c>
      <c r="AE37" s="15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2"/>
      <c r="AV37" s="32"/>
      <c r="AW37" s="32"/>
      <c r="AX37" s="32"/>
      <c r="AY37" s="32"/>
    </row>
    <row r="38" spans="1:51" x14ac:dyDescent="0.2">
      <c r="A38" s="15" t="s">
        <v>95</v>
      </c>
      <c r="B38" s="28">
        <v>51.817667</v>
      </c>
      <c r="C38" s="28">
        <v>-1.314683</v>
      </c>
      <c r="D38" t="s">
        <v>136</v>
      </c>
      <c r="E38" s="15" t="s">
        <v>96</v>
      </c>
      <c r="F38" s="15">
        <v>4</v>
      </c>
      <c r="G38" s="15">
        <v>3</v>
      </c>
      <c r="H38" s="15">
        <v>12</v>
      </c>
      <c r="I38" s="15">
        <v>66</v>
      </c>
      <c r="J38" s="15">
        <f t="shared" si="0"/>
        <v>6</v>
      </c>
      <c r="K38" s="15">
        <v>2</v>
      </c>
      <c r="L38" s="15" t="s">
        <v>97</v>
      </c>
      <c r="M38" s="15" t="s">
        <v>84</v>
      </c>
      <c r="N38" s="15" t="s">
        <v>84</v>
      </c>
      <c r="O38" s="15" t="s">
        <v>94</v>
      </c>
      <c r="P38" s="15">
        <v>0</v>
      </c>
      <c r="Q38" s="15">
        <v>7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1</v>
      </c>
      <c r="X38" s="15">
        <v>0</v>
      </c>
      <c r="Y38" s="15">
        <v>1</v>
      </c>
      <c r="Z38" s="15">
        <v>0</v>
      </c>
      <c r="AA38" s="15">
        <v>2</v>
      </c>
      <c r="AB38" s="15">
        <v>51</v>
      </c>
      <c r="AC38" s="15">
        <v>4</v>
      </c>
      <c r="AD38" s="15">
        <v>0</v>
      </c>
      <c r="AE38" s="15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2"/>
      <c r="AV38" s="32"/>
      <c r="AW38" s="32"/>
      <c r="AX38" s="32"/>
      <c r="AY38" s="32"/>
    </row>
    <row r="39" spans="1:51" x14ac:dyDescent="0.2">
      <c r="A39" s="15" t="s">
        <v>98</v>
      </c>
      <c r="B39" s="28">
        <v>51.817332999999998</v>
      </c>
      <c r="C39" s="28">
        <v>-1.3145</v>
      </c>
      <c r="D39" t="s">
        <v>136</v>
      </c>
      <c r="E39" s="15" t="s">
        <v>73</v>
      </c>
      <c r="F39" s="15">
        <v>6</v>
      </c>
      <c r="G39" s="15">
        <v>3</v>
      </c>
      <c r="H39" s="15">
        <v>18</v>
      </c>
      <c r="I39" s="15">
        <v>71</v>
      </c>
      <c r="J39" s="15">
        <f t="shared" si="0"/>
        <v>9</v>
      </c>
      <c r="K39" s="15">
        <v>171</v>
      </c>
      <c r="L39" s="15" t="s">
        <v>83</v>
      </c>
      <c r="M39" s="15" t="s">
        <v>81</v>
      </c>
      <c r="N39" s="15" t="s">
        <v>89</v>
      </c>
      <c r="O39" s="15" t="s">
        <v>99</v>
      </c>
      <c r="P39" s="15">
        <v>2</v>
      </c>
      <c r="Q39" s="15">
        <v>33</v>
      </c>
      <c r="R39" s="15">
        <v>0</v>
      </c>
      <c r="S39" s="15">
        <v>0</v>
      </c>
      <c r="T39" s="15">
        <v>0</v>
      </c>
      <c r="U39" s="15">
        <v>2</v>
      </c>
      <c r="V39" s="15">
        <v>0</v>
      </c>
      <c r="W39" s="15">
        <v>1</v>
      </c>
      <c r="X39" s="15">
        <v>5</v>
      </c>
      <c r="Y39" s="15">
        <v>0</v>
      </c>
      <c r="Z39" s="15">
        <v>0</v>
      </c>
      <c r="AA39" s="15">
        <v>13</v>
      </c>
      <c r="AB39" s="15">
        <v>11</v>
      </c>
      <c r="AC39" s="15">
        <v>3</v>
      </c>
      <c r="AD39" s="15">
        <v>1</v>
      </c>
      <c r="AE39" s="15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2"/>
      <c r="AV39" s="32"/>
      <c r="AW39" s="32"/>
      <c r="AX39" s="32"/>
      <c r="AY39" s="32"/>
    </row>
    <row r="40" spans="1:51" x14ac:dyDescent="0.2">
      <c r="A40" s="15" t="s">
        <v>100</v>
      </c>
      <c r="B40" s="28">
        <v>51.816682999999998</v>
      </c>
      <c r="C40" s="28">
        <v>-1.31325</v>
      </c>
      <c r="D40" t="s">
        <v>136</v>
      </c>
      <c r="E40" s="15" t="s">
        <v>73</v>
      </c>
      <c r="F40" s="15">
        <v>6</v>
      </c>
      <c r="G40" s="15">
        <v>2</v>
      </c>
      <c r="H40" s="15">
        <v>12</v>
      </c>
      <c r="I40" s="15">
        <v>28</v>
      </c>
      <c r="J40" s="15">
        <f t="shared" si="0"/>
        <v>5</v>
      </c>
      <c r="K40" s="15">
        <v>268</v>
      </c>
      <c r="L40" s="15" t="s">
        <v>92</v>
      </c>
      <c r="M40" s="15" t="s">
        <v>75</v>
      </c>
      <c r="N40" s="15" t="s">
        <v>89</v>
      </c>
      <c r="O40" s="15" t="s">
        <v>94</v>
      </c>
      <c r="P40" s="15">
        <v>0</v>
      </c>
      <c r="Q40" s="15">
        <v>9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</v>
      </c>
      <c r="Y40" s="15">
        <v>0</v>
      </c>
      <c r="Z40" s="15">
        <v>0</v>
      </c>
      <c r="AA40" s="15">
        <v>7</v>
      </c>
      <c r="AB40" s="15">
        <v>3</v>
      </c>
      <c r="AC40" s="15">
        <v>4</v>
      </c>
      <c r="AD40" s="15">
        <v>0</v>
      </c>
      <c r="AE40" s="15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2"/>
      <c r="AV40" s="32"/>
      <c r="AW40" s="32"/>
      <c r="AX40" s="32"/>
      <c r="AY40" s="32"/>
    </row>
    <row r="41" spans="1:51" x14ac:dyDescent="0.2">
      <c r="A41" s="15" t="s">
        <v>101</v>
      </c>
      <c r="B41" s="28">
        <v>51.815100000000001</v>
      </c>
      <c r="C41" s="28">
        <v>-1.313367</v>
      </c>
      <c r="D41" t="s">
        <v>136</v>
      </c>
      <c r="E41" s="15" t="s">
        <v>102</v>
      </c>
      <c r="F41" s="15">
        <v>1</v>
      </c>
      <c r="G41" s="15">
        <v>3</v>
      </c>
      <c r="H41" s="15">
        <v>3</v>
      </c>
      <c r="I41" s="15">
        <v>17</v>
      </c>
      <c r="J41" s="15">
        <f t="shared" si="0"/>
        <v>8</v>
      </c>
      <c r="K41" s="15">
        <v>333</v>
      </c>
      <c r="L41" s="15" t="s">
        <v>103</v>
      </c>
      <c r="M41" s="15" t="s">
        <v>104</v>
      </c>
      <c r="N41" s="15" t="s">
        <v>84</v>
      </c>
      <c r="O41" s="15" t="s">
        <v>94</v>
      </c>
      <c r="P41" s="15">
        <v>0</v>
      </c>
      <c r="Q41" s="15">
        <v>5</v>
      </c>
      <c r="R41" s="15">
        <v>0</v>
      </c>
      <c r="S41" s="15">
        <v>1</v>
      </c>
      <c r="T41" s="15">
        <v>0</v>
      </c>
      <c r="U41" s="15">
        <v>0</v>
      </c>
      <c r="V41" s="15">
        <v>0</v>
      </c>
      <c r="W41" s="15">
        <v>0</v>
      </c>
      <c r="X41" s="15">
        <v>2</v>
      </c>
      <c r="Y41" s="15">
        <v>1</v>
      </c>
      <c r="Z41" s="15">
        <v>0</v>
      </c>
      <c r="AA41" s="15">
        <v>1</v>
      </c>
      <c r="AB41" s="15">
        <v>2</v>
      </c>
      <c r="AC41" s="15">
        <v>4</v>
      </c>
      <c r="AD41" s="15">
        <v>1</v>
      </c>
      <c r="AE41" s="15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2"/>
      <c r="AV41" s="32"/>
      <c r="AW41" s="32"/>
      <c r="AX41" s="32"/>
      <c r="AY41" s="32"/>
    </row>
    <row r="42" spans="1:51" x14ac:dyDescent="0.2">
      <c r="A42" s="15" t="s">
        <v>105</v>
      </c>
      <c r="B42" s="28">
        <v>51.817749999999997</v>
      </c>
      <c r="C42" s="28">
        <v>-1.310883</v>
      </c>
      <c r="D42" t="s">
        <v>136</v>
      </c>
      <c r="E42" s="15" t="s">
        <v>96</v>
      </c>
      <c r="F42" s="15">
        <v>4</v>
      </c>
      <c r="G42" s="15">
        <v>3</v>
      </c>
      <c r="H42" s="15">
        <v>12</v>
      </c>
      <c r="I42" s="15">
        <v>28</v>
      </c>
      <c r="J42" s="15">
        <f t="shared" si="0"/>
        <v>5</v>
      </c>
      <c r="K42" s="15">
        <v>0</v>
      </c>
      <c r="L42" s="15" t="s">
        <v>97</v>
      </c>
      <c r="M42" s="15" t="s">
        <v>85</v>
      </c>
      <c r="N42" s="15" t="s">
        <v>84</v>
      </c>
      <c r="O42" s="15" t="s">
        <v>94</v>
      </c>
      <c r="P42" s="15">
        <v>0</v>
      </c>
      <c r="Q42" s="15">
        <v>9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1</v>
      </c>
      <c r="Y42" s="15">
        <v>0</v>
      </c>
      <c r="Z42" s="15">
        <v>0</v>
      </c>
      <c r="AA42" s="15">
        <v>4</v>
      </c>
      <c r="AB42" s="15">
        <v>9</v>
      </c>
      <c r="AC42" s="15">
        <v>5</v>
      </c>
      <c r="AD42" s="15">
        <v>0</v>
      </c>
      <c r="AE42" s="15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2"/>
      <c r="AV42" s="32"/>
      <c r="AW42" s="32"/>
      <c r="AX42" s="32"/>
      <c r="AY42" s="32"/>
    </row>
    <row r="43" spans="1:51" x14ac:dyDescent="0.2">
      <c r="A43" s="15" t="s">
        <v>106</v>
      </c>
      <c r="B43" s="28">
        <v>51.816133000000001</v>
      </c>
      <c r="C43" s="28">
        <v>-1.3091330000000001</v>
      </c>
      <c r="D43" t="s">
        <v>136</v>
      </c>
      <c r="E43" s="15" t="s">
        <v>96</v>
      </c>
      <c r="F43" s="15">
        <v>4</v>
      </c>
      <c r="G43" s="15">
        <v>3</v>
      </c>
      <c r="H43" s="15">
        <v>12</v>
      </c>
      <c r="I43" s="15">
        <v>54</v>
      </c>
      <c r="J43" s="15">
        <f t="shared" si="0"/>
        <v>6</v>
      </c>
      <c r="K43" s="15">
        <v>358</v>
      </c>
      <c r="L43" s="15" t="s">
        <v>97</v>
      </c>
      <c r="M43" s="15" t="s">
        <v>85</v>
      </c>
      <c r="N43" s="15" t="s">
        <v>85</v>
      </c>
      <c r="O43" s="15" t="s">
        <v>94</v>
      </c>
      <c r="P43" s="15">
        <v>0</v>
      </c>
      <c r="Q43" s="15">
        <v>15</v>
      </c>
      <c r="R43" s="15">
        <v>0</v>
      </c>
      <c r="S43" s="15">
        <v>0</v>
      </c>
      <c r="T43" s="15">
        <v>0</v>
      </c>
      <c r="U43" s="15">
        <v>2</v>
      </c>
      <c r="V43" s="15">
        <v>0</v>
      </c>
      <c r="W43" s="15">
        <v>0</v>
      </c>
      <c r="X43" s="15">
        <v>22</v>
      </c>
      <c r="Y43" s="15">
        <v>0</v>
      </c>
      <c r="Z43" s="15">
        <v>0</v>
      </c>
      <c r="AA43" s="15">
        <v>3</v>
      </c>
      <c r="AB43" s="15">
        <v>9</v>
      </c>
      <c r="AC43" s="15">
        <v>3</v>
      </c>
      <c r="AD43" s="15">
        <v>0</v>
      </c>
      <c r="AE43" s="15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2"/>
      <c r="AV43" s="32"/>
      <c r="AW43" s="32"/>
      <c r="AX43" s="32"/>
      <c r="AY43" s="32"/>
    </row>
    <row r="44" spans="1:51" x14ac:dyDescent="0.2">
      <c r="A44" s="15" t="s">
        <v>107</v>
      </c>
      <c r="B44" s="28">
        <v>51.815100000000001</v>
      </c>
      <c r="C44" s="28">
        <v>-1.307833</v>
      </c>
      <c r="D44" t="s">
        <v>136</v>
      </c>
      <c r="E44" s="15" t="s">
        <v>96</v>
      </c>
      <c r="F44" s="15">
        <v>4</v>
      </c>
      <c r="G44" s="15">
        <v>3</v>
      </c>
      <c r="H44" s="15">
        <v>12</v>
      </c>
      <c r="I44" s="15">
        <v>56</v>
      </c>
      <c r="J44" s="15">
        <f t="shared" si="0"/>
        <v>4</v>
      </c>
      <c r="K44" s="15">
        <v>4</v>
      </c>
      <c r="L44" s="15" t="s">
        <v>97</v>
      </c>
      <c r="M44" s="15" t="s">
        <v>84</v>
      </c>
      <c r="N44" s="15" t="s">
        <v>84</v>
      </c>
      <c r="O44" s="15" t="s">
        <v>108</v>
      </c>
      <c r="P44" s="15">
        <v>0</v>
      </c>
      <c r="Q44" s="15">
        <v>20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9</v>
      </c>
      <c r="AB44" s="15">
        <v>18</v>
      </c>
      <c r="AC44" s="15">
        <v>9</v>
      </c>
      <c r="AD44" s="15">
        <v>0</v>
      </c>
      <c r="AE44" s="15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2"/>
      <c r="AV44" s="32"/>
      <c r="AW44" s="32"/>
      <c r="AX44" s="32"/>
      <c r="AY44" s="32"/>
    </row>
    <row r="45" spans="1:51" x14ac:dyDescent="0.2">
      <c r="A45" s="15" t="s">
        <v>109</v>
      </c>
      <c r="B45" s="28">
        <v>51.816766999999999</v>
      </c>
      <c r="C45" s="28">
        <v>-1.3060499999999999</v>
      </c>
      <c r="D45" t="s">
        <v>136</v>
      </c>
      <c r="E45" s="15" t="s">
        <v>110</v>
      </c>
      <c r="F45" s="15">
        <v>2</v>
      </c>
      <c r="G45" s="15">
        <v>2</v>
      </c>
      <c r="H45" s="15">
        <v>4</v>
      </c>
      <c r="I45" s="15">
        <v>54</v>
      </c>
      <c r="J45" s="15">
        <f t="shared" si="0"/>
        <v>7</v>
      </c>
      <c r="K45" s="15">
        <v>268</v>
      </c>
      <c r="L45" s="15" t="s">
        <v>92</v>
      </c>
      <c r="M45" s="15" t="s">
        <v>104</v>
      </c>
      <c r="N45" s="15" t="s">
        <v>104</v>
      </c>
      <c r="O45" s="15" t="s">
        <v>99</v>
      </c>
      <c r="P45" s="15">
        <v>0</v>
      </c>
      <c r="Q45" s="15">
        <v>12</v>
      </c>
      <c r="R45" s="15">
        <v>0</v>
      </c>
      <c r="S45" s="15">
        <v>2</v>
      </c>
      <c r="T45" s="15">
        <v>0</v>
      </c>
      <c r="U45" s="15">
        <v>4</v>
      </c>
      <c r="V45" s="15">
        <v>0</v>
      </c>
      <c r="W45" s="15">
        <v>0</v>
      </c>
      <c r="X45" s="15">
        <v>4</v>
      </c>
      <c r="Y45" s="15">
        <v>0</v>
      </c>
      <c r="Z45" s="15">
        <v>1</v>
      </c>
      <c r="AA45" s="15">
        <v>7</v>
      </c>
      <c r="AB45" s="15">
        <v>0</v>
      </c>
      <c r="AC45" s="15">
        <v>24</v>
      </c>
      <c r="AD45" s="15">
        <v>0</v>
      </c>
      <c r="AE45" s="15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2"/>
      <c r="AV45" s="32"/>
      <c r="AW45" s="32"/>
      <c r="AX45" s="32"/>
      <c r="AY45" s="32"/>
    </row>
    <row r="46" spans="1:51" x14ac:dyDescent="0.2">
      <c r="A46" s="15" t="s">
        <v>111</v>
      </c>
      <c r="B46" s="28">
        <v>51.816682999999998</v>
      </c>
      <c r="C46" s="28">
        <v>-1.305917</v>
      </c>
      <c r="D46" t="s">
        <v>136</v>
      </c>
      <c r="E46" s="15" t="s">
        <v>110</v>
      </c>
      <c r="F46" s="15">
        <v>2</v>
      </c>
      <c r="G46" s="15">
        <v>2</v>
      </c>
      <c r="H46" s="15">
        <v>4</v>
      </c>
      <c r="I46" s="15">
        <v>66</v>
      </c>
      <c r="J46" s="15">
        <f t="shared" si="0"/>
        <v>9</v>
      </c>
      <c r="K46" s="15">
        <v>84</v>
      </c>
      <c r="L46" s="15" t="s">
        <v>88</v>
      </c>
      <c r="M46" s="15" t="s">
        <v>104</v>
      </c>
      <c r="N46" s="15" t="s">
        <v>104</v>
      </c>
      <c r="O46" s="15" t="s">
        <v>99</v>
      </c>
      <c r="P46" s="15">
        <v>1</v>
      </c>
      <c r="Q46" s="15">
        <v>14</v>
      </c>
      <c r="R46" s="15">
        <v>0</v>
      </c>
      <c r="S46" s="15">
        <v>3</v>
      </c>
      <c r="T46" s="15">
        <v>0</v>
      </c>
      <c r="U46" s="15">
        <v>1</v>
      </c>
      <c r="V46" s="15">
        <v>0</v>
      </c>
      <c r="W46" s="15">
        <v>1</v>
      </c>
      <c r="X46" s="15">
        <v>2</v>
      </c>
      <c r="Y46" s="15">
        <v>0</v>
      </c>
      <c r="Z46" s="15">
        <v>0</v>
      </c>
      <c r="AA46" s="15">
        <v>10</v>
      </c>
      <c r="AB46" s="15">
        <v>3</v>
      </c>
      <c r="AC46" s="15">
        <v>31</v>
      </c>
      <c r="AD46" s="15">
        <v>0</v>
      </c>
      <c r="AE46" s="15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2"/>
      <c r="AV46" s="32"/>
      <c r="AW46" s="32"/>
      <c r="AX46" s="32"/>
      <c r="AY46" s="32"/>
    </row>
    <row r="47" spans="1:51" x14ac:dyDescent="0.2">
      <c r="A47" s="15" t="s">
        <v>112</v>
      </c>
      <c r="B47" s="28">
        <v>51.815632999999998</v>
      </c>
      <c r="C47" s="28">
        <v>-1.2991999999999999</v>
      </c>
      <c r="D47" t="s">
        <v>136</v>
      </c>
      <c r="E47" s="15" t="s">
        <v>96</v>
      </c>
      <c r="F47" s="15">
        <v>4</v>
      </c>
      <c r="G47" s="15">
        <v>3</v>
      </c>
      <c r="H47" s="15">
        <v>12</v>
      </c>
      <c r="I47" s="15">
        <v>52</v>
      </c>
      <c r="J47" s="15">
        <f t="shared" si="0"/>
        <v>7</v>
      </c>
      <c r="K47" s="15">
        <v>179</v>
      </c>
      <c r="L47" s="15" t="s">
        <v>83</v>
      </c>
      <c r="M47" s="15" t="s">
        <v>84</v>
      </c>
      <c r="N47" s="15" t="s">
        <v>85</v>
      </c>
      <c r="O47" s="15" t="s">
        <v>113</v>
      </c>
      <c r="P47" s="15">
        <v>0</v>
      </c>
      <c r="Q47" s="15">
        <v>25</v>
      </c>
      <c r="R47" s="15">
        <v>0</v>
      </c>
      <c r="S47" s="15">
        <v>0</v>
      </c>
      <c r="T47" s="15">
        <v>0</v>
      </c>
      <c r="U47" s="15">
        <v>2</v>
      </c>
      <c r="V47" s="15">
        <v>0</v>
      </c>
      <c r="W47" s="15">
        <v>0</v>
      </c>
      <c r="X47" s="15">
        <v>1</v>
      </c>
      <c r="Y47" s="15">
        <v>0</v>
      </c>
      <c r="Z47" s="15">
        <v>3</v>
      </c>
      <c r="AA47" s="15">
        <v>14</v>
      </c>
      <c r="AB47" s="15">
        <v>5</v>
      </c>
      <c r="AC47" s="15">
        <v>2</v>
      </c>
      <c r="AD47" s="15">
        <v>0</v>
      </c>
      <c r="AE47" s="15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2"/>
      <c r="AV47" s="32"/>
      <c r="AW47" s="32"/>
      <c r="AX47" s="32"/>
      <c r="AY47" s="32"/>
    </row>
    <row r="48" spans="1:51" x14ac:dyDescent="0.2">
      <c r="A48" s="15" t="s">
        <v>114</v>
      </c>
      <c r="B48" s="28">
        <v>51.815617000000003</v>
      </c>
      <c r="C48" s="28">
        <v>-1.3024169999999999</v>
      </c>
      <c r="D48" t="s">
        <v>136</v>
      </c>
      <c r="E48" s="15" t="s">
        <v>73</v>
      </c>
      <c r="F48" s="15">
        <v>6</v>
      </c>
      <c r="G48" s="15">
        <v>3</v>
      </c>
      <c r="H48" s="15">
        <v>18</v>
      </c>
      <c r="I48" s="15">
        <v>94</v>
      </c>
      <c r="J48" s="15">
        <f t="shared" si="0"/>
        <v>8</v>
      </c>
      <c r="K48" s="15">
        <v>182</v>
      </c>
      <c r="L48" s="15" t="s">
        <v>83</v>
      </c>
      <c r="M48" s="15" t="s">
        <v>85</v>
      </c>
      <c r="N48" s="15" t="s">
        <v>85</v>
      </c>
      <c r="O48" s="15" t="s">
        <v>115</v>
      </c>
      <c r="P48" s="15">
        <v>0</v>
      </c>
      <c r="Q48" s="15">
        <v>27</v>
      </c>
      <c r="R48" s="15">
        <v>0</v>
      </c>
      <c r="S48" s="15">
        <v>0</v>
      </c>
      <c r="T48" s="15">
        <v>1</v>
      </c>
      <c r="U48" s="15">
        <v>0</v>
      </c>
      <c r="V48" s="15">
        <v>0</v>
      </c>
      <c r="W48" s="15">
        <v>4</v>
      </c>
      <c r="X48" s="15">
        <v>16</v>
      </c>
      <c r="Y48" s="15">
        <v>0</v>
      </c>
      <c r="Z48" s="15">
        <v>3</v>
      </c>
      <c r="AA48" s="15">
        <v>17</v>
      </c>
      <c r="AB48" s="15">
        <v>6</v>
      </c>
      <c r="AC48" s="15">
        <v>20</v>
      </c>
      <c r="AD48" s="15">
        <v>0</v>
      </c>
      <c r="AE48" s="15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2"/>
      <c r="AV48" s="32"/>
      <c r="AW48" s="32"/>
      <c r="AX48" s="32"/>
      <c r="AY48" s="32"/>
    </row>
    <row r="49" spans="1:51" x14ac:dyDescent="0.2">
      <c r="A49" s="15" t="s">
        <v>116</v>
      </c>
      <c r="B49" s="28">
        <v>51.813732999999999</v>
      </c>
      <c r="C49" s="28">
        <v>-1.3007169999999999</v>
      </c>
      <c r="D49" t="s">
        <v>136</v>
      </c>
      <c r="E49" s="15" t="s">
        <v>96</v>
      </c>
      <c r="F49" s="15">
        <v>4</v>
      </c>
      <c r="G49" s="15">
        <v>2</v>
      </c>
      <c r="H49" s="15">
        <v>8</v>
      </c>
      <c r="I49" s="15">
        <v>72</v>
      </c>
      <c r="J49" s="15">
        <f t="shared" si="0"/>
        <v>9</v>
      </c>
      <c r="K49" s="15">
        <v>165</v>
      </c>
      <c r="L49" s="15" t="s">
        <v>83</v>
      </c>
      <c r="M49" s="15" t="s">
        <v>76</v>
      </c>
      <c r="N49" s="15" t="s">
        <v>84</v>
      </c>
      <c r="O49" s="15" t="s">
        <v>86</v>
      </c>
      <c r="P49" s="15">
        <v>0</v>
      </c>
      <c r="Q49" s="15">
        <v>36</v>
      </c>
      <c r="R49" s="15">
        <v>0</v>
      </c>
      <c r="S49" s="15">
        <v>0</v>
      </c>
      <c r="T49" s="15">
        <v>1</v>
      </c>
      <c r="U49" s="15">
        <v>1</v>
      </c>
      <c r="V49" s="15">
        <v>0</v>
      </c>
      <c r="W49" s="15">
        <v>1</v>
      </c>
      <c r="X49" s="15">
        <v>15</v>
      </c>
      <c r="Y49" s="15">
        <v>1</v>
      </c>
      <c r="Z49" s="15">
        <v>0</v>
      </c>
      <c r="AA49" s="15">
        <v>6</v>
      </c>
      <c r="AB49" s="15">
        <v>3</v>
      </c>
      <c r="AC49" s="15">
        <v>8</v>
      </c>
      <c r="AD49" s="15">
        <v>0</v>
      </c>
      <c r="AE49" s="15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2"/>
      <c r="AV49" s="32"/>
      <c r="AW49" s="32"/>
      <c r="AX49" s="32"/>
      <c r="AY49" s="32"/>
    </row>
    <row r="50" spans="1:51" x14ac:dyDescent="0.2">
      <c r="A50" s="15" t="s">
        <v>117</v>
      </c>
      <c r="B50" s="28">
        <v>51.810867000000002</v>
      </c>
      <c r="C50" s="28">
        <v>-1.3022</v>
      </c>
      <c r="D50" t="s">
        <v>136</v>
      </c>
      <c r="E50" s="15" t="s">
        <v>79</v>
      </c>
      <c r="F50" s="15">
        <v>8</v>
      </c>
      <c r="G50" s="15">
        <v>3</v>
      </c>
      <c r="H50" s="15">
        <v>24</v>
      </c>
      <c r="I50" s="15">
        <v>67</v>
      </c>
      <c r="J50" s="15">
        <f t="shared" si="0"/>
        <v>8</v>
      </c>
      <c r="K50" s="15">
        <v>314</v>
      </c>
      <c r="L50" s="15" t="s">
        <v>103</v>
      </c>
      <c r="M50" s="15" t="s">
        <v>118</v>
      </c>
      <c r="N50" s="15" t="s">
        <v>75</v>
      </c>
      <c r="O50" s="15" t="s">
        <v>86</v>
      </c>
      <c r="P50" s="15">
        <v>0</v>
      </c>
      <c r="Q50" s="15">
        <v>22</v>
      </c>
      <c r="R50" s="15">
        <v>0</v>
      </c>
      <c r="S50" s="15">
        <v>0</v>
      </c>
      <c r="T50" s="15">
        <v>0</v>
      </c>
      <c r="U50" s="15">
        <v>4</v>
      </c>
      <c r="V50" s="15">
        <v>0</v>
      </c>
      <c r="W50" s="15">
        <v>2</v>
      </c>
      <c r="X50" s="15">
        <v>3</v>
      </c>
      <c r="Y50" s="15">
        <v>0</v>
      </c>
      <c r="Z50" s="15">
        <v>7</v>
      </c>
      <c r="AA50" s="15">
        <v>17</v>
      </c>
      <c r="AB50" s="15">
        <v>2</v>
      </c>
      <c r="AC50" s="15">
        <v>10</v>
      </c>
      <c r="AD50" s="15">
        <v>0</v>
      </c>
      <c r="AE50" s="15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2"/>
      <c r="AV50" s="32"/>
      <c r="AW50" s="32"/>
      <c r="AX50" s="32"/>
      <c r="AY50" s="32"/>
    </row>
    <row r="51" spans="1:51" x14ac:dyDescent="0.2">
      <c r="A51" s="15" t="s">
        <v>119</v>
      </c>
      <c r="B51" s="28">
        <v>51.818550000000002</v>
      </c>
      <c r="C51" s="28">
        <v>-1.2959670000000001</v>
      </c>
      <c r="D51" t="s">
        <v>136</v>
      </c>
      <c r="E51" s="15" t="s">
        <v>79</v>
      </c>
      <c r="F51" s="15">
        <v>8</v>
      </c>
      <c r="G51" s="15">
        <v>3</v>
      </c>
      <c r="H51" s="15">
        <v>24</v>
      </c>
      <c r="I51" s="15">
        <v>41</v>
      </c>
      <c r="J51" s="15">
        <f t="shared" si="0"/>
        <v>6</v>
      </c>
      <c r="K51" s="15">
        <v>211</v>
      </c>
      <c r="L51" s="15" t="s">
        <v>74</v>
      </c>
      <c r="M51" s="15" t="s">
        <v>118</v>
      </c>
      <c r="N51" s="15" t="s">
        <v>89</v>
      </c>
      <c r="O51" s="15" t="s">
        <v>115</v>
      </c>
      <c r="P51" s="15">
        <v>0</v>
      </c>
      <c r="Q51" s="15">
        <v>20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3</v>
      </c>
      <c r="X51" s="15">
        <v>4</v>
      </c>
      <c r="Y51" s="15">
        <v>0</v>
      </c>
      <c r="Z51" s="15">
        <v>3</v>
      </c>
      <c r="AA51" s="15">
        <v>4</v>
      </c>
      <c r="AB51" s="15">
        <v>0</v>
      </c>
      <c r="AC51" s="15">
        <v>7</v>
      </c>
      <c r="AD51" s="15">
        <v>0</v>
      </c>
      <c r="AE51" s="15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2"/>
      <c r="AV51" s="32"/>
      <c r="AW51" s="32"/>
      <c r="AX51" s="32"/>
      <c r="AY51" s="32"/>
    </row>
    <row r="52" spans="1:51" x14ac:dyDescent="0.2">
      <c r="A52" s="15" t="s">
        <v>120</v>
      </c>
      <c r="B52" s="28">
        <v>51.816716999999997</v>
      </c>
      <c r="C52" s="28">
        <v>-1.293917</v>
      </c>
      <c r="D52" t="s">
        <v>136</v>
      </c>
      <c r="E52" s="15" t="s">
        <v>79</v>
      </c>
      <c r="F52" s="15">
        <v>8</v>
      </c>
      <c r="G52" s="15">
        <v>2</v>
      </c>
      <c r="H52" s="15">
        <v>16</v>
      </c>
      <c r="I52" s="15">
        <v>45</v>
      </c>
      <c r="J52" s="15">
        <f t="shared" si="0"/>
        <v>9</v>
      </c>
      <c r="K52" s="15">
        <v>174</v>
      </c>
      <c r="L52" s="15" t="s">
        <v>83</v>
      </c>
      <c r="M52" s="15" t="s">
        <v>89</v>
      </c>
      <c r="N52" s="15" t="s">
        <v>85</v>
      </c>
      <c r="O52" s="15" t="s">
        <v>121</v>
      </c>
      <c r="P52" s="15">
        <v>0</v>
      </c>
      <c r="Q52" s="15">
        <v>21</v>
      </c>
      <c r="R52" s="15">
        <v>0</v>
      </c>
      <c r="S52" s="15">
        <v>0</v>
      </c>
      <c r="T52" s="15">
        <v>0</v>
      </c>
      <c r="U52" s="15">
        <v>1</v>
      </c>
      <c r="V52" s="15">
        <v>0</v>
      </c>
      <c r="W52" s="15">
        <v>1</v>
      </c>
      <c r="X52" s="15">
        <v>3</v>
      </c>
      <c r="Y52" s="15">
        <v>1</v>
      </c>
      <c r="Z52" s="15">
        <v>7</v>
      </c>
      <c r="AA52" s="15">
        <v>7</v>
      </c>
      <c r="AB52" s="15">
        <v>1</v>
      </c>
      <c r="AC52" s="15">
        <v>3</v>
      </c>
      <c r="AD52" s="15">
        <v>0</v>
      </c>
      <c r="AE52" s="15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2"/>
      <c r="AV52" s="32"/>
      <c r="AW52" s="32"/>
      <c r="AX52" s="32"/>
      <c r="AY52" s="32"/>
    </row>
    <row r="53" spans="1:51" x14ac:dyDescent="0.2">
      <c r="A53" s="15" t="s">
        <v>122</v>
      </c>
      <c r="B53" s="28">
        <v>51.815533000000002</v>
      </c>
      <c r="C53" s="28">
        <v>-1.2947500000000001</v>
      </c>
      <c r="D53" t="s">
        <v>136</v>
      </c>
      <c r="E53" s="15" t="s">
        <v>73</v>
      </c>
      <c r="F53" s="15">
        <v>6</v>
      </c>
      <c r="G53" s="15">
        <v>3</v>
      </c>
      <c r="H53" s="15">
        <v>18</v>
      </c>
      <c r="I53" s="15">
        <v>28</v>
      </c>
      <c r="J53" s="15">
        <f t="shared" si="0"/>
        <v>6</v>
      </c>
      <c r="K53" s="15">
        <v>350</v>
      </c>
      <c r="L53" s="15" t="s">
        <v>97</v>
      </c>
      <c r="M53" s="15" t="s">
        <v>89</v>
      </c>
      <c r="N53" s="15" t="s">
        <v>85</v>
      </c>
      <c r="O53" s="15" t="s">
        <v>121</v>
      </c>
      <c r="P53" s="15">
        <v>0</v>
      </c>
      <c r="Q53" s="15">
        <v>9</v>
      </c>
      <c r="R53" s="15">
        <v>0</v>
      </c>
      <c r="S53" s="15">
        <v>0</v>
      </c>
      <c r="T53" s="15">
        <v>0</v>
      </c>
      <c r="U53" s="15">
        <v>1</v>
      </c>
      <c r="V53" s="15">
        <v>0</v>
      </c>
      <c r="W53" s="15">
        <v>0</v>
      </c>
      <c r="X53" s="15">
        <v>1</v>
      </c>
      <c r="Y53" s="15">
        <v>0</v>
      </c>
      <c r="Z53" s="15">
        <v>0</v>
      </c>
      <c r="AA53" s="15">
        <v>5</v>
      </c>
      <c r="AB53" s="15">
        <v>0</v>
      </c>
      <c r="AC53" s="15">
        <v>11</v>
      </c>
      <c r="AD53" s="15">
        <v>1</v>
      </c>
      <c r="AE53" s="15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2"/>
      <c r="AV53" s="32"/>
      <c r="AW53" s="32"/>
      <c r="AX53" s="32"/>
      <c r="AY53" s="32"/>
    </row>
    <row r="54" spans="1:51" x14ac:dyDescent="0.2">
      <c r="A54" s="15" t="s">
        <v>123</v>
      </c>
      <c r="B54" s="28">
        <v>51.815832999999998</v>
      </c>
      <c r="C54" s="28">
        <v>-1.29295</v>
      </c>
      <c r="D54" t="s">
        <v>136</v>
      </c>
      <c r="E54" s="15" t="s">
        <v>73</v>
      </c>
      <c r="F54" s="15">
        <v>6</v>
      </c>
      <c r="G54" s="15">
        <v>3</v>
      </c>
      <c r="H54" s="15">
        <v>18</v>
      </c>
      <c r="I54" s="15">
        <v>60</v>
      </c>
      <c r="J54" s="15">
        <f t="shared" si="0"/>
        <v>7</v>
      </c>
      <c r="K54" s="15">
        <v>161</v>
      </c>
      <c r="L54" s="15" t="s">
        <v>124</v>
      </c>
      <c r="M54" s="15" t="s">
        <v>76</v>
      </c>
      <c r="N54" s="15" t="s">
        <v>85</v>
      </c>
      <c r="O54" s="15" t="s">
        <v>121</v>
      </c>
      <c r="P54" s="15">
        <v>0</v>
      </c>
      <c r="Q54" s="15">
        <v>26</v>
      </c>
      <c r="R54" s="15">
        <v>0</v>
      </c>
      <c r="S54" s="15">
        <v>2</v>
      </c>
      <c r="T54" s="15">
        <v>0</v>
      </c>
      <c r="U54" s="15">
        <v>0</v>
      </c>
      <c r="V54" s="15">
        <v>0</v>
      </c>
      <c r="W54" s="15">
        <v>1</v>
      </c>
      <c r="X54" s="15">
        <v>0</v>
      </c>
      <c r="Y54" s="15">
        <v>1</v>
      </c>
      <c r="Z54" s="15">
        <v>5</v>
      </c>
      <c r="AA54" s="15">
        <v>10</v>
      </c>
      <c r="AB54" s="15">
        <v>0</v>
      </c>
      <c r="AC54" s="15">
        <v>15</v>
      </c>
      <c r="AD54" s="15">
        <v>0</v>
      </c>
      <c r="AE54" s="15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2"/>
      <c r="AV54" s="32"/>
      <c r="AW54" s="32"/>
      <c r="AX54" s="32"/>
      <c r="AY54" s="32"/>
    </row>
    <row r="55" spans="1:51" x14ac:dyDescent="0.2">
      <c r="A55" s="15" t="s">
        <v>125</v>
      </c>
      <c r="B55" s="28">
        <v>51.815133000000003</v>
      </c>
      <c r="C55" s="28">
        <v>-1.2927</v>
      </c>
      <c r="D55" t="s">
        <v>136</v>
      </c>
      <c r="E55" s="15" t="s">
        <v>79</v>
      </c>
      <c r="F55" s="15">
        <v>8</v>
      </c>
      <c r="G55" s="15">
        <v>3</v>
      </c>
      <c r="H55" s="15">
        <v>24</v>
      </c>
      <c r="I55" s="15">
        <v>44</v>
      </c>
      <c r="J55" s="15">
        <f t="shared" si="0"/>
        <v>7</v>
      </c>
      <c r="K55" s="15">
        <v>287</v>
      </c>
      <c r="L55" s="15" t="s">
        <v>92</v>
      </c>
      <c r="M55" s="15" t="s">
        <v>81</v>
      </c>
      <c r="N55" s="15" t="s">
        <v>89</v>
      </c>
      <c r="O55" s="15" t="s">
        <v>121</v>
      </c>
      <c r="P55" s="15">
        <v>0</v>
      </c>
      <c r="Q55" s="15">
        <v>23</v>
      </c>
      <c r="R55" s="15">
        <v>0</v>
      </c>
      <c r="S55" s="15">
        <v>0</v>
      </c>
      <c r="T55" s="15">
        <v>0</v>
      </c>
      <c r="U55" s="15">
        <v>2</v>
      </c>
      <c r="V55" s="15">
        <v>0</v>
      </c>
      <c r="W55" s="15">
        <v>3</v>
      </c>
      <c r="X55" s="15">
        <v>3</v>
      </c>
      <c r="Y55" s="15">
        <v>0</v>
      </c>
      <c r="Z55" s="15">
        <v>0</v>
      </c>
      <c r="AA55" s="15">
        <v>9</v>
      </c>
      <c r="AB55" s="15">
        <v>0</v>
      </c>
      <c r="AC55" s="15">
        <v>3</v>
      </c>
      <c r="AD55" s="15">
        <v>1</v>
      </c>
      <c r="AE55" s="15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2"/>
      <c r="AV55" s="32"/>
      <c r="AW55" s="32"/>
      <c r="AX55" s="32"/>
      <c r="AY55" s="32"/>
    </row>
    <row r="56" spans="1:51" x14ac:dyDescent="0.2">
      <c r="A56" s="15" t="s">
        <v>126</v>
      </c>
      <c r="B56" s="28">
        <v>51.815100000000001</v>
      </c>
      <c r="C56" s="28">
        <v>-1.2924329999999999</v>
      </c>
      <c r="D56" t="s">
        <v>136</v>
      </c>
      <c r="E56" s="15" t="s">
        <v>79</v>
      </c>
      <c r="F56" s="15">
        <v>8</v>
      </c>
      <c r="G56" s="15">
        <v>3</v>
      </c>
      <c r="H56" s="15">
        <v>24</v>
      </c>
      <c r="I56" s="15">
        <v>67</v>
      </c>
      <c r="J56" s="15">
        <f t="shared" si="0"/>
        <v>8</v>
      </c>
      <c r="K56" s="15">
        <v>117</v>
      </c>
      <c r="L56" s="15" t="s">
        <v>80</v>
      </c>
      <c r="M56" s="15" t="s">
        <v>81</v>
      </c>
      <c r="N56" s="15" t="s">
        <v>89</v>
      </c>
      <c r="O56" s="15" t="s">
        <v>113</v>
      </c>
      <c r="P56" s="15">
        <v>0</v>
      </c>
      <c r="Q56" s="15">
        <v>38</v>
      </c>
      <c r="R56" s="15">
        <v>1</v>
      </c>
      <c r="S56" s="15">
        <v>0</v>
      </c>
      <c r="T56" s="15">
        <v>0</v>
      </c>
      <c r="U56" s="15">
        <v>1</v>
      </c>
      <c r="V56" s="15">
        <v>1</v>
      </c>
      <c r="W56" s="15">
        <v>5</v>
      </c>
      <c r="X56" s="15">
        <v>4</v>
      </c>
      <c r="Y56" s="15">
        <v>0</v>
      </c>
      <c r="Z56" s="15">
        <v>0</v>
      </c>
      <c r="AA56" s="15">
        <v>13</v>
      </c>
      <c r="AB56" s="15">
        <v>0</v>
      </c>
      <c r="AC56" s="15">
        <v>4</v>
      </c>
      <c r="AD56" s="15">
        <v>0</v>
      </c>
      <c r="AE56" s="15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2"/>
      <c r="AV56" s="32"/>
      <c r="AW56" s="32"/>
      <c r="AX56" s="32"/>
      <c r="AY56" s="32"/>
    </row>
    <row r="57" spans="1:51" x14ac:dyDescent="0.2">
      <c r="A57" s="15" t="s">
        <v>127</v>
      </c>
      <c r="B57" s="28">
        <v>51.812600000000003</v>
      </c>
      <c r="C57" s="28">
        <v>-1.293833</v>
      </c>
      <c r="D57" t="s">
        <v>136</v>
      </c>
      <c r="E57" s="15" t="s">
        <v>79</v>
      </c>
      <c r="F57" s="15">
        <v>8</v>
      </c>
      <c r="G57" s="15">
        <v>3</v>
      </c>
      <c r="H57" s="15">
        <v>24</v>
      </c>
      <c r="I57" s="15">
        <v>85</v>
      </c>
      <c r="J57" s="15">
        <f t="shared" si="0"/>
        <v>8</v>
      </c>
      <c r="K57" s="15">
        <v>102</v>
      </c>
      <c r="L57" s="15" t="s">
        <v>88</v>
      </c>
      <c r="M57" s="15" t="s">
        <v>89</v>
      </c>
      <c r="N57" s="15" t="s">
        <v>75</v>
      </c>
      <c r="O57" s="15" t="s">
        <v>113</v>
      </c>
      <c r="P57" s="15">
        <v>0</v>
      </c>
      <c r="Q57" s="15">
        <v>30</v>
      </c>
      <c r="R57" s="15">
        <v>1</v>
      </c>
      <c r="S57" s="15">
        <v>0</v>
      </c>
      <c r="T57" s="15">
        <v>0</v>
      </c>
      <c r="U57" s="15">
        <v>8</v>
      </c>
      <c r="V57" s="15">
        <v>0</v>
      </c>
      <c r="W57" s="15">
        <v>3</v>
      </c>
      <c r="X57" s="15">
        <v>11</v>
      </c>
      <c r="Y57" s="15">
        <v>0</v>
      </c>
      <c r="Z57" s="15">
        <v>0</v>
      </c>
      <c r="AA57" s="15">
        <v>15</v>
      </c>
      <c r="AB57" s="15">
        <v>4</v>
      </c>
      <c r="AC57" s="15">
        <v>13</v>
      </c>
      <c r="AD57" s="15">
        <v>0</v>
      </c>
      <c r="AE57" s="15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2"/>
      <c r="AV57" s="32"/>
      <c r="AW57" s="32"/>
      <c r="AX57" s="32"/>
      <c r="AY57" s="32"/>
    </row>
    <row r="58" spans="1:51" x14ac:dyDescent="0.2">
      <c r="A58" s="15" t="s">
        <v>128</v>
      </c>
      <c r="B58" s="28">
        <v>51.809583000000003</v>
      </c>
      <c r="C58" s="28">
        <v>-1.2956669999999999</v>
      </c>
      <c r="D58" t="s">
        <v>136</v>
      </c>
      <c r="E58" s="15" t="s">
        <v>79</v>
      </c>
      <c r="F58" s="15">
        <v>8</v>
      </c>
      <c r="G58" s="15">
        <v>3</v>
      </c>
      <c r="H58" s="15">
        <v>24</v>
      </c>
      <c r="I58" s="15">
        <v>56</v>
      </c>
      <c r="J58" s="15">
        <f t="shared" si="0"/>
        <v>6</v>
      </c>
      <c r="K58" s="15">
        <v>98</v>
      </c>
      <c r="L58" s="15" t="s">
        <v>88</v>
      </c>
      <c r="M58" s="15" t="s">
        <v>75</v>
      </c>
      <c r="N58" s="15" t="s">
        <v>75</v>
      </c>
      <c r="O58" s="15" t="s">
        <v>113</v>
      </c>
      <c r="P58" s="15">
        <v>0</v>
      </c>
      <c r="Q58" s="15">
        <v>23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2</v>
      </c>
      <c r="X58" s="15">
        <v>6</v>
      </c>
      <c r="Y58" s="15">
        <v>0</v>
      </c>
      <c r="Z58" s="15">
        <v>0</v>
      </c>
      <c r="AA58" s="15">
        <v>18</v>
      </c>
      <c r="AB58" s="15">
        <v>3</v>
      </c>
      <c r="AC58" s="15">
        <v>4</v>
      </c>
      <c r="AD58" s="15">
        <v>0</v>
      </c>
      <c r="AE58" s="15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2"/>
      <c r="AV58" s="32"/>
      <c r="AW58" s="32"/>
      <c r="AX58" s="32"/>
      <c r="AY58" s="32"/>
    </row>
    <row r="59" spans="1:51" x14ac:dyDescent="0.2">
      <c r="A59" s="15" t="s">
        <v>129</v>
      </c>
      <c r="B59" s="28">
        <v>51.807749999999999</v>
      </c>
      <c r="C59" s="28">
        <v>-1.29295</v>
      </c>
      <c r="D59" t="s">
        <v>136</v>
      </c>
      <c r="E59" s="15" t="s">
        <v>79</v>
      </c>
      <c r="F59" s="15">
        <v>8</v>
      </c>
      <c r="G59" s="15">
        <v>2</v>
      </c>
      <c r="H59" s="15">
        <v>16</v>
      </c>
      <c r="I59" s="15">
        <v>48</v>
      </c>
      <c r="J59" s="15">
        <f t="shared" si="0"/>
        <v>8</v>
      </c>
      <c r="K59" s="15">
        <v>285</v>
      </c>
      <c r="L59" s="15" t="s">
        <v>92</v>
      </c>
      <c r="M59" s="15" t="s">
        <v>75</v>
      </c>
      <c r="N59" s="15" t="s">
        <v>89</v>
      </c>
      <c r="O59" s="15" t="s">
        <v>113</v>
      </c>
      <c r="P59" s="15">
        <v>0</v>
      </c>
      <c r="Q59" s="15">
        <v>21</v>
      </c>
      <c r="R59" s="15">
        <v>0</v>
      </c>
      <c r="S59" s="15">
        <v>0</v>
      </c>
      <c r="T59" s="15">
        <v>0</v>
      </c>
      <c r="U59" s="15">
        <v>1</v>
      </c>
      <c r="V59" s="15">
        <v>0</v>
      </c>
      <c r="W59" s="15">
        <v>4</v>
      </c>
      <c r="X59" s="15">
        <v>6</v>
      </c>
      <c r="Y59" s="15">
        <v>0</v>
      </c>
      <c r="Z59" s="15">
        <v>0</v>
      </c>
      <c r="AA59" s="15">
        <v>7</v>
      </c>
      <c r="AB59" s="15">
        <v>2</v>
      </c>
      <c r="AC59" s="15">
        <v>6</v>
      </c>
      <c r="AD59" s="15">
        <v>1</v>
      </c>
      <c r="AE59" s="15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2"/>
      <c r="AV59" s="32"/>
      <c r="AW59" s="32"/>
      <c r="AX59" s="32"/>
      <c r="AY59" s="32"/>
    </row>
    <row r="60" spans="1:51" x14ac:dyDescent="0.2">
      <c r="A60" s="15" t="s">
        <v>130</v>
      </c>
      <c r="B60" s="28">
        <v>51.808599999999998</v>
      </c>
      <c r="C60" s="28">
        <v>-1.288683</v>
      </c>
      <c r="D60" t="s">
        <v>136</v>
      </c>
      <c r="E60" s="15" t="s">
        <v>73</v>
      </c>
      <c r="F60" s="15">
        <v>6</v>
      </c>
      <c r="G60" s="15">
        <v>3</v>
      </c>
      <c r="H60" s="15">
        <v>18</v>
      </c>
      <c r="I60" s="15">
        <v>53</v>
      </c>
      <c r="J60" s="15">
        <f t="shared" si="0"/>
        <v>10</v>
      </c>
      <c r="K60" s="15">
        <v>274</v>
      </c>
      <c r="L60" s="15" t="s">
        <v>92</v>
      </c>
      <c r="M60" s="15" t="s">
        <v>76</v>
      </c>
      <c r="N60" s="15" t="s">
        <v>89</v>
      </c>
      <c r="O60" s="15" t="s">
        <v>113</v>
      </c>
      <c r="P60" s="15">
        <v>1</v>
      </c>
      <c r="Q60" s="15">
        <v>30</v>
      </c>
      <c r="R60" s="15">
        <v>0</v>
      </c>
      <c r="S60" s="15">
        <v>0</v>
      </c>
      <c r="T60" s="15">
        <v>0</v>
      </c>
      <c r="U60" s="15">
        <v>1</v>
      </c>
      <c r="V60" s="15">
        <v>0</v>
      </c>
      <c r="W60" s="15">
        <v>1</v>
      </c>
      <c r="X60" s="15">
        <v>2</v>
      </c>
      <c r="Y60" s="15">
        <v>0</v>
      </c>
      <c r="Z60" s="15">
        <v>2</v>
      </c>
      <c r="AA60" s="15">
        <v>6</v>
      </c>
      <c r="AB60" s="15">
        <v>7</v>
      </c>
      <c r="AC60" s="15">
        <v>2</v>
      </c>
      <c r="AD60" s="15">
        <v>1</v>
      </c>
      <c r="AE60" s="15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2"/>
      <c r="AV60" s="32"/>
      <c r="AW60" s="32"/>
      <c r="AX60" s="32"/>
      <c r="AY60" s="32"/>
    </row>
    <row r="61" spans="1:51" x14ac:dyDescent="0.2">
      <c r="A61" s="15" t="s">
        <v>131</v>
      </c>
      <c r="B61" s="28">
        <v>51.811216999999999</v>
      </c>
      <c r="C61" s="28">
        <v>-1.2882830000000001</v>
      </c>
      <c r="D61" t="s">
        <v>136</v>
      </c>
      <c r="E61" s="15" t="s">
        <v>73</v>
      </c>
      <c r="F61" s="15">
        <v>6</v>
      </c>
      <c r="G61" s="15">
        <v>3</v>
      </c>
      <c r="H61" s="15">
        <v>18</v>
      </c>
      <c r="I61" s="15">
        <v>41</v>
      </c>
      <c r="J61" s="15">
        <f t="shared" si="0"/>
        <v>8</v>
      </c>
      <c r="K61" s="15">
        <v>278</v>
      </c>
      <c r="L61" s="15" t="s">
        <v>92</v>
      </c>
      <c r="M61" s="15" t="s">
        <v>76</v>
      </c>
      <c r="N61" s="15" t="s">
        <v>75</v>
      </c>
      <c r="O61" s="15" t="s">
        <v>113</v>
      </c>
      <c r="P61" s="15">
        <v>1</v>
      </c>
      <c r="Q61" s="15">
        <v>12</v>
      </c>
      <c r="R61" s="15">
        <v>0</v>
      </c>
      <c r="S61" s="15">
        <v>0</v>
      </c>
      <c r="T61" s="15">
        <v>0</v>
      </c>
      <c r="U61" s="15">
        <v>1</v>
      </c>
      <c r="V61" s="15">
        <v>0</v>
      </c>
      <c r="W61" s="15">
        <v>0</v>
      </c>
      <c r="X61" s="15">
        <v>1</v>
      </c>
      <c r="Y61" s="15">
        <v>1</v>
      </c>
      <c r="Z61" s="15">
        <v>0</v>
      </c>
      <c r="AA61" s="15">
        <v>19</v>
      </c>
      <c r="AB61" s="15">
        <v>2</v>
      </c>
      <c r="AC61" s="15">
        <v>4</v>
      </c>
      <c r="AD61" s="15">
        <v>0</v>
      </c>
      <c r="AE61" s="15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2"/>
      <c r="AV61" s="32"/>
      <c r="AW61" s="32"/>
      <c r="AX61" s="32"/>
      <c r="AY61" s="32"/>
    </row>
    <row r="62" spans="1:51" x14ac:dyDescent="0.2">
      <c r="A62" s="15" t="s">
        <v>72</v>
      </c>
      <c r="B62" s="28">
        <v>51.822099999999999</v>
      </c>
      <c r="C62" s="28">
        <v>-1.2992330000000001</v>
      </c>
      <c r="D62" t="s">
        <v>137</v>
      </c>
      <c r="E62" s="15" t="s">
        <v>73</v>
      </c>
      <c r="F62" s="15">
        <v>6</v>
      </c>
      <c r="G62" s="15">
        <v>3</v>
      </c>
      <c r="H62" s="15">
        <v>18</v>
      </c>
      <c r="I62" s="15">
        <v>52</v>
      </c>
      <c r="J62" s="15">
        <f t="shared" si="0"/>
        <v>8</v>
      </c>
      <c r="K62" s="20">
        <v>225</v>
      </c>
      <c r="L62" s="15" t="s">
        <v>74</v>
      </c>
      <c r="M62" s="15" t="s">
        <v>75</v>
      </c>
      <c r="N62" s="15" t="s">
        <v>76</v>
      </c>
      <c r="O62" s="15" t="s">
        <v>77</v>
      </c>
      <c r="P62" s="15">
        <v>1</v>
      </c>
      <c r="Q62" s="15">
        <v>21</v>
      </c>
      <c r="R62" s="15">
        <v>0</v>
      </c>
      <c r="S62" s="15">
        <v>0</v>
      </c>
      <c r="T62" s="15">
        <v>1</v>
      </c>
      <c r="U62" s="15">
        <v>0</v>
      </c>
      <c r="V62" s="15">
        <v>0</v>
      </c>
      <c r="W62" s="15">
        <v>0</v>
      </c>
      <c r="X62" s="15">
        <v>2</v>
      </c>
      <c r="Y62" s="15">
        <v>0</v>
      </c>
      <c r="Z62" s="15">
        <v>5</v>
      </c>
      <c r="AA62" s="15">
        <v>9</v>
      </c>
      <c r="AB62" s="15">
        <v>0</v>
      </c>
      <c r="AC62" s="15">
        <v>12</v>
      </c>
      <c r="AD62" s="15">
        <v>1</v>
      </c>
      <c r="AE62" s="15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2"/>
      <c r="AV62" s="32"/>
      <c r="AW62" s="32"/>
      <c r="AX62" s="32"/>
      <c r="AY62" s="32"/>
    </row>
    <row r="63" spans="1:51" x14ac:dyDescent="0.2">
      <c r="A63" s="15" t="s">
        <v>78</v>
      </c>
      <c r="B63" s="28">
        <v>51.822516999999998</v>
      </c>
      <c r="C63" s="28">
        <v>-1.3022499999999999</v>
      </c>
      <c r="D63" t="s">
        <v>137</v>
      </c>
      <c r="E63" s="15" t="s">
        <v>79</v>
      </c>
      <c r="F63" s="15">
        <v>8</v>
      </c>
      <c r="G63" s="15">
        <v>3</v>
      </c>
      <c r="H63" s="15">
        <v>24</v>
      </c>
      <c r="I63" s="15">
        <v>103</v>
      </c>
      <c r="J63" s="15">
        <f t="shared" si="0"/>
        <v>7</v>
      </c>
      <c r="K63" s="15">
        <v>150</v>
      </c>
      <c r="L63" s="15" t="s">
        <v>80</v>
      </c>
      <c r="M63" s="15" t="s">
        <v>81</v>
      </c>
      <c r="N63" s="15" t="s">
        <v>75</v>
      </c>
      <c r="O63" s="15" t="s">
        <v>77</v>
      </c>
      <c r="P63" s="15">
        <v>0</v>
      </c>
      <c r="Q63" s="15">
        <v>36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7</v>
      </c>
      <c r="Y63" s="15">
        <v>0</v>
      </c>
      <c r="Z63" s="15">
        <v>4</v>
      </c>
      <c r="AA63" s="15">
        <v>17</v>
      </c>
      <c r="AB63" s="15">
        <v>4</v>
      </c>
      <c r="AC63" s="15">
        <v>34</v>
      </c>
      <c r="AD63" s="15">
        <v>1</v>
      </c>
      <c r="AE63" s="15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2"/>
      <c r="AV63" s="32"/>
      <c r="AW63" s="32"/>
      <c r="AX63" s="32"/>
      <c r="AY63" s="32"/>
    </row>
    <row r="64" spans="1:51" x14ac:dyDescent="0.2">
      <c r="A64" s="15" t="s">
        <v>82</v>
      </c>
      <c r="B64" s="28">
        <v>51.823616999999999</v>
      </c>
      <c r="C64" s="28">
        <v>-1.3056000000000001</v>
      </c>
      <c r="D64" t="s">
        <v>137</v>
      </c>
      <c r="E64" s="15" t="s">
        <v>73</v>
      </c>
      <c r="F64" s="15">
        <v>6</v>
      </c>
      <c r="G64" s="15">
        <v>3</v>
      </c>
      <c r="H64" s="15">
        <v>18</v>
      </c>
      <c r="I64" s="15">
        <v>48</v>
      </c>
      <c r="J64" s="15">
        <f t="shared" si="0"/>
        <v>7</v>
      </c>
      <c r="K64" s="15">
        <v>179</v>
      </c>
      <c r="L64" s="15" t="s">
        <v>83</v>
      </c>
      <c r="M64" s="15" t="s">
        <v>84</v>
      </c>
      <c r="N64" s="15" t="s">
        <v>85</v>
      </c>
      <c r="O64" s="15" t="s">
        <v>86</v>
      </c>
      <c r="P64" s="15">
        <v>1</v>
      </c>
      <c r="Q64" s="15">
        <v>27</v>
      </c>
      <c r="R64" s="15">
        <v>0</v>
      </c>
      <c r="S64" s="15">
        <v>0</v>
      </c>
      <c r="T64" s="15">
        <v>0</v>
      </c>
      <c r="U64" s="15">
        <v>1</v>
      </c>
      <c r="V64" s="15">
        <v>0</v>
      </c>
      <c r="W64" s="15">
        <v>1</v>
      </c>
      <c r="X64" s="15">
        <v>5</v>
      </c>
      <c r="Y64" s="15">
        <v>0</v>
      </c>
      <c r="Z64" s="15">
        <v>0</v>
      </c>
      <c r="AA64" s="15">
        <v>3</v>
      </c>
      <c r="AB64" s="15">
        <v>0</v>
      </c>
      <c r="AC64" s="15">
        <v>10</v>
      </c>
      <c r="AD64" s="15">
        <v>0</v>
      </c>
      <c r="AE64" s="15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2"/>
      <c r="AV64" s="32"/>
      <c r="AW64" s="32"/>
      <c r="AX64" s="32"/>
      <c r="AY64" s="32"/>
    </row>
    <row r="65" spans="1:51" x14ac:dyDescent="0.2">
      <c r="A65" s="15" t="s">
        <v>87</v>
      </c>
      <c r="B65" s="28">
        <v>51.822032999999998</v>
      </c>
      <c r="C65" s="28">
        <v>-1.30945</v>
      </c>
      <c r="D65" t="s">
        <v>137</v>
      </c>
      <c r="E65" s="15" t="s">
        <v>73</v>
      </c>
      <c r="F65" s="15">
        <v>6</v>
      </c>
      <c r="G65" s="15">
        <v>3</v>
      </c>
      <c r="H65" s="15">
        <v>18</v>
      </c>
      <c r="I65" s="15">
        <v>47</v>
      </c>
      <c r="J65" s="15">
        <f t="shared" si="0"/>
        <v>6</v>
      </c>
      <c r="K65" s="15">
        <v>88</v>
      </c>
      <c r="L65" s="15" t="s">
        <v>88</v>
      </c>
      <c r="M65" s="15" t="s">
        <v>81</v>
      </c>
      <c r="N65" s="15" t="s">
        <v>89</v>
      </c>
      <c r="O65" s="15" t="s">
        <v>86</v>
      </c>
      <c r="P65" s="15">
        <v>0</v>
      </c>
      <c r="Q65" s="15">
        <v>24</v>
      </c>
      <c r="R65" s="15">
        <v>0</v>
      </c>
      <c r="S65" s="15">
        <v>0</v>
      </c>
      <c r="T65" s="15">
        <v>0</v>
      </c>
      <c r="U65" s="15">
        <v>1</v>
      </c>
      <c r="V65" s="15">
        <v>0</v>
      </c>
      <c r="W65" s="15">
        <v>0</v>
      </c>
      <c r="X65" s="15">
        <v>4</v>
      </c>
      <c r="Y65" s="15">
        <v>0</v>
      </c>
      <c r="Z65" s="15">
        <v>0</v>
      </c>
      <c r="AA65" s="15">
        <v>4</v>
      </c>
      <c r="AB65" s="15">
        <v>7</v>
      </c>
      <c r="AC65" s="15">
        <v>7</v>
      </c>
      <c r="AD65" s="15">
        <v>0</v>
      </c>
      <c r="AE65" s="15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2"/>
      <c r="AV65" s="32"/>
      <c r="AW65" s="32"/>
      <c r="AX65" s="32"/>
      <c r="AY65" s="32"/>
    </row>
    <row r="66" spans="1:51" x14ac:dyDescent="0.2">
      <c r="A66" s="15" t="s">
        <v>90</v>
      </c>
      <c r="B66" s="28">
        <v>51.820900000000002</v>
      </c>
      <c r="C66" s="28">
        <v>-1.3093669999999999</v>
      </c>
      <c r="D66" t="s">
        <v>137</v>
      </c>
      <c r="E66" s="15" t="s">
        <v>91</v>
      </c>
      <c r="F66" s="15">
        <v>2</v>
      </c>
      <c r="G66" s="15">
        <v>2</v>
      </c>
      <c r="H66" s="15">
        <v>4</v>
      </c>
      <c r="I66" s="15">
        <v>38</v>
      </c>
      <c r="J66" s="15">
        <f t="shared" si="0"/>
        <v>7</v>
      </c>
      <c r="K66" s="15">
        <v>255</v>
      </c>
      <c r="L66" s="15" t="s">
        <v>92</v>
      </c>
      <c r="M66" s="15" t="s">
        <v>85</v>
      </c>
      <c r="N66" s="15" t="s">
        <v>84</v>
      </c>
      <c r="O66" s="15" t="s">
        <v>86</v>
      </c>
      <c r="P66" s="15">
        <v>0</v>
      </c>
      <c r="Q66" s="15">
        <v>7</v>
      </c>
      <c r="R66" s="15">
        <v>0</v>
      </c>
      <c r="S66" s="15">
        <v>0</v>
      </c>
      <c r="T66" s="15">
        <v>0</v>
      </c>
      <c r="U66" s="15">
        <v>1</v>
      </c>
      <c r="V66" s="15">
        <v>0</v>
      </c>
      <c r="W66" s="15">
        <v>2</v>
      </c>
      <c r="X66" s="15">
        <v>12</v>
      </c>
      <c r="Y66" s="15">
        <v>0</v>
      </c>
      <c r="Z66" s="15">
        <v>2</v>
      </c>
      <c r="AA66" s="15">
        <v>11</v>
      </c>
      <c r="AB66" s="15">
        <v>0</v>
      </c>
      <c r="AC66" s="15">
        <v>3</v>
      </c>
      <c r="AD66" s="15">
        <v>0</v>
      </c>
      <c r="AE66" s="15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2"/>
      <c r="AV66" s="32"/>
      <c r="AW66" s="32"/>
      <c r="AX66" s="32"/>
      <c r="AY66" s="32"/>
    </row>
    <row r="67" spans="1:51" x14ac:dyDescent="0.2">
      <c r="A67" s="15" t="s">
        <v>93</v>
      </c>
      <c r="B67" s="28">
        <v>51.818367000000002</v>
      </c>
      <c r="C67" s="28">
        <v>-1.3125830000000001</v>
      </c>
      <c r="D67" t="s">
        <v>137</v>
      </c>
      <c r="E67" s="15" t="s">
        <v>73</v>
      </c>
      <c r="F67" s="15">
        <v>6</v>
      </c>
      <c r="G67" s="15">
        <v>2</v>
      </c>
      <c r="H67" s="15">
        <v>12</v>
      </c>
      <c r="I67" s="15">
        <v>58</v>
      </c>
      <c r="J67" s="15">
        <f t="shared" ref="J67:J91" si="1">COUNTIF(P67:AD67,"&gt;0")</f>
        <v>6</v>
      </c>
      <c r="K67" s="15">
        <v>255</v>
      </c>
      <c r="L67" s="15" t="s">
        <v>92</v>
      </c>
      <c r="M67" s="15" t="s">
        <v>75</v>
      </c>
      <c r="N67" s="15" t="s">
        <v>85</v>
      </c>
      <c r="O67" s="15" t="s">
        <v>94</v>
      </c>
      <c r="P67" s="15">
        <v>0</v>
      </c>
      <c r="Q67" s="15">
        <v>19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1</v>
      </c>
      <c r="X67" s="15">
        <v>19</v>
      </c>
      <c r="Y67" s="15">
        <v>0</v>
      </c>
      <c r="Z67" s="15">
        <v>0</v>
      </c>
      <c r="AA67" s="15">
        <v>6</v>
      </c>
      <c r="AB67" s="15">
        <v>7</v>
      </c>
      <c r="AC67" s="15">
        <v>6</v>
      </c>
      <c r="AD67" s="15">
        <v>0</v>
      </c>
      <c r="AE67" s="15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2"/>
      <c r="AV67" s="32"/>
      <c r="AW67" s="32"/>
      <c r="AX67" s="32"/>
      <c r="AY67" s="32"/>
    </row>
    <row r="68" spans="1:51" x14ac:dyDescent="0.2">
      <c r="A68" s="15" t="s">
        <v>95</v>
      </c>
      <c r="B68" s="28">
        <v>51.817667</v>
      </c>
      <c r="C68" s="28">
        <v>-1.314683</v>
      </c>
      <c r="D68" t="s">
        <v>137</v>
      </c>
      <c r="E68" s="15" t="s">
        <v>96</v>
      </c>
      <c r="F68" s="15">
        <v>4</v>
      </c>
      <c r="G68" s="15">
        <v>3</v>
      </c>
      <c r="H68" s="15">
        <v>12</v>
      </c>
      <c r="I68" s="15">
        <v>56</v>
      </c>
      <c r="J68" s="15">
        <f t="shared" si="1"/>
        <v>5</v>
      </c>
      <c r="K68" s="15">
        <v>2</v>
      </c>
      <c r="L68" s="15" t="s">
        <v>97</v>
      </c>
      <c r="M68" s="15" t="s">
        <v>84</v>
      </c>
      <c r="N68" s="15" t="s">
        <v>84</v>
      </c>
      <c r="O68" s="15" t="s">
        <v>94</v>
      </c>
      <c r="P68" s="15">
        <v>0</v>
      </c>
      <c r="Q68" s="15">
        <v>35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2</v>
      </c>
      <c r="Y68" s="15">
        <v>0</v>
      </c>
      <c r="Z68" s="15">
        <v>0</v>
      </c>
      <c r="AA68" s="15">
        <v>1</v>
      </c>
      <c r="AB68" s="15">
        <v>12</v>
      </c>
      <c r="AC68" s="15">
        <v>6</v>
      </c>
      <c r="AD68" s="15">
        <v>0</v>
      </c>
      <c r="AE68" s="15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2"/>
      <c r="AV68" s="32"/>
      <c r="AW68" s="32"/>
      <c r="AX68" s="32"/>
      <c r="AY68" s="32"/>
    </row>
    <row r="69" spans="1:51" x14ac:dyDescent="0.2">
      <c r="A69" s="15" t="s">
        <v>98</v>
      </c>
      <c r="B69" s="28">
        <v>51.817332999999998</v>
      </c>
      <c r="C69" s="28">
        <v>-1.3145</v>
      </c>
      <c r="D69" t="s">
        <v>137</v>
      </c>
      <c r="E69" s="15" t="s">
        <v>73</v>
      </c>
      <c r="F69" s="15">
        <v>6</v>
      </c>
      <c r="G69" s="15">
        <v>3</v>
      </c>
      <c r="H69" s="15">
        <v>18</v>
      </c>
      <c r="I69" s="15">
        <v>46</v>
      </c>
      <c r="J69" s="15">
        <f t="shared" si="1"/>
        <v>5</v>
      </c>
      <c r="K69" s="15">
        <v>171</v>
      </c>
      <c r="L69" s="15" t="s">
        <v>83</v>
      </c>
      <c r="M69" s="15" t="s">
        <v>81</v>
      </c>
      <c r="N69" s="15" t="s">
        <v>89</v>
      </c>
      <c r="O69" s="15" t="s">
        <v>99</v>
      </c>
      <c r="P69" s="15">
        <v>0</v>
      </c>
      <c r="Q69" s="15">
        <v>25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3</v>
      </c>
      <c r="Y69" s="15">
        <v>0</v>
      </c>
      <c r="Z69" s="15">
        <v>0</v>
      </c>
      <c r="AA69" s="15">
        <v>8</v>
      </c>
      <c r="AB69" s="15">
        <v>1</v>
      </c>
      <c r="AC69" s="15">
        <v>9</v>
      </c>
      <c r="AD69" s="15">
        <v>0</v>
      </c>
      <c r="AE69" s="15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2"/>
      <c r="AV69" s="32"/>
      <c r="AW69" s="32"/>
      <c r="AX69" s="32"/>
      <c r="AY69" s="32"/>
    </row>
    <row r="70" spans="1:51" x14ac:dyDescent="0.2">
      <c r="A70" s="15" t="s">
        <v>100</v>
      </c>
      <c r="B70" s="28">
        <v>51.816682999999998</v>
      </c>
      <c r="C70" s="28">
        <v>-1.31325</v>
      </c>
      <c r="D70" t="s">
        <v>137</v>
      </c>
      <c r="E70" s="15" t="s">
        <v>73</v>
      </c>
      <c r="F70" s="15">
        <v>6</v>
      </c>
      <c r="G70" s="15">
        <v>2</v>
      </c>
      <c r="H70" s="15">
        <v>12</v>
      </c>
      <c r="I70" s="15">
        <v>35</v>
      </c>
      <c r="J70" s="15">
        <f t="shared" si="1"/>
        <v>6</v>
      </c>
      <c r="K70" s="15">
        <v>268</v>
      </c>
      <c r="L70" s="15" t="s">
        <v>92</v>
      </c>
      <c r="M70" s="15" t="s">
        <v>75</v>
      </c>
      <c r="N70" s="15" t="s">
        <v>89</v>
      </c>
      <c r="O70" s="15" t="s">
        <v>94</v>
      </c>
      <c r="P70" s="15">
        <v>6</v>
      </c>
      <c r="Q70" s="15">
        <v>13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10</v>
      </c>
      <c r="Y70" s="15">
        <v>0</v>
      </c>
      <c r="Z70" s="15">
        <v>0</v>
      </c>
      <c r="AA70" s="15">
        <v>4</v>
      </c>
      <c r="AB70" s="15">
        <v>1</v>
      </c>
      <c r="AC70" s="15">
        <v>1</v>
      </c>
      <c r="AD70" s="15">
        <v>0</v>
      </c>
      <c r="AE70" s="15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2"/>
      <c r="AV70" s="32"/>
      <c r="AW70" s="32"/>
      <c r="AX70" s="32"/>
      <c r="AY70" s="32"/>
    </row>
    <row r="71" spans="1:51" x14ac:dyDescent="0.2">
      <c r="A71" s="22" t="s">
        <v>101</v>
      </c>
      <c r="B71" s="28">
        <v>51.815100000000001</v>
      </c>
      <c r="C71" s="28">
        <v>-1.313367</v>
      </c>
      <c r="D71" t="s">
        <v>137</v>
      </c>
      <c r="E71" s="15" t="s">
        <v>102</v>
      </c>
      <c r="F71" s="15">
        <v>1</v>
      </c>
      <c r="G71" s="15">
        <v>3</v>
      </c>
      <c r="H71" s="15">
        <v>3</v>
      </c>
      <c r="I71" s="15">
        <v>0</v>
      </c>
      <c r="J71" s="15">
        <f t="shared" si="1"/>
        <v>0</v>
      </c>
      <c r="K71" s="15">
        <v>333</v>
      </c>
      <c r="L71" s="15" t="s">
        <v>103</v>
      </c>
      <c r="M71" s="15" t="s">
        <v>104</v>
      </c>
      <c r="N71" s="15" t="s">
        <v>84</v>
      </c>
      <c r="O71" s="15" t="s">
        <v>94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2"/>
      <c r="AV71" s="32"/>
      <c r="AW71" s="32"/>
      <c r="AX71" s="32"/>
      <c r="AY71" s="32"/>
    </row>
    <row r="72" spans="1:51" x14ac:dyDescent="0.2">
      <c r="A72" s="15" t="s">
        <v>105</v>
      </c>
      <c r="B72" s="28">
        <v>51.817749999999997</v>
      </c>
      <c r="C72" s="28">
        <v>-1.310883</v>
      </c>
      <c r="D72" t="s">
        <v>137</v>
      </c>
      <c r="E72" s="15" t="s">
        <v>96</v>
      </c>
      <c r="F72" s="15">
        <v>4</v>
      </c>
      <c r="G72" s="15">
        <v>3</v>
      </c>
      <c r="H72" s="15">
        <v>12</v>
      </c>
      <c r="I72" s="15">
        <v>44</v>
      </c>
      <c r="J72" s="15">
        <f t="shared" si="1"/>
        <v>5</v>
      </c>
      <c r="K72" s="15">
        <v>0</v>
      </c>
      <c r="L72" s="15" t="s">
        <v>97</v>
      </c>
      <c r="M72" s="15" t="s">
        <v>85</v>
      </c>
      <c r="N72" s="15" t="s">
        <v>84</v>
      </c>
      <c r="O72" s="15" t="s">
        <v>94</v>
      </c>
      <c r="P72" s="15">
        <v>0</v>
      </c>
      <c r="Q72" s="15">
        <v>26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5</v>
      </c>
      <c r="Y72" s="15">
        <v>0</v>
      </c>
      <c r="Z72" s="15">
        <v>1</v>
      </c>
      <c r="AA72" s="15">
        <v>0</v>
      </c>
      <c r="AB72" s="15">
        <v>5</v>
      </c>
      <c r="AC72" s="15">
        <v>7</v>
      </c>
      <c r="AD72" s="15">
        <v>0</v>
      </c>
      <c r="AE72" s="15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2"/>
      <c r="AV72" s="32"/>
      <c r="AW72" s="32"/>
      <c r="AX72" s="32"/>
      <c r="AY72" s="32"/>
    </row>
    <row r="73" spans="1:51" x14ac:dyDescent="0.2">
      <c r="A73" s="15" t="s">
        <v>106</v>
      </c>
      <c r="B73" s="28">
        <v>51.816133000000001</v>
      </c>
      <c r="C73" s="28">
        <v>-1.3091330000000001</v>
      </c>
      <c r="D73" t="s">
        <v>137</v>
      </c>
      <c r="E73" s="15" t="s">
        <v>96</v>
      </c>
      <c r="F73" s="15">
        <v>4</v>
      </c>
      <c r="G73" s="15">
        <v>3</v>
      </c>
      <c r="H73" s="15">
        <v>12</v>
      </c>
      <c r="I73" s="15">
        <v>35</v>
      </c>
      <c r="J73" s="15">
        <f t="shared" si="1"/>
        <v>6</v>
      </c>
      <c r="K73" s="15">
        <v>358</v>
      </c>
      <c r="L73" s="15" t="s">
        <v>97</v>
      </c>
      <c r="M73" s="15" t="s">
        <v>85</v>
      </c>
      <c r="N73" s="15" t="s">
        <v>85</v>
      </c>
      <c r="O73" s="15" t="s">
        <v>94</v>
      </c>
      <c r="P73" s="15">
        <v>0</v>
      </c>
      <c r="Q73" s="15">
        <v>10</v>
      </c>
      <c r="R73" s="15">
        <v>0</v>
      </c>
      <c r="S73" s="15">
        <v>0</v>
      </c>
      <c r="T73" s="15">
        <v>0</v>
      </c>
      <c r="U73" s="15">
        <v>2</v>
      </c>
      <c r="V73" s="15">
        <v>0</v>
      </c>
      <c r="W73" s="15">
        <v>1</v>
      </c>
      <c r="X73" s="15">
        <v>16</v>
      </c>
      <c r="Y73" s="15">
        <v>0</v>
      </c>
      <c r="Z73" s="15">
        <v>0</v>
      </c>
      <c r="AA73" s="15">
        <v>0</v>
      </c>
      <c r="AB73" s="15">
        <v>4</v>
      </c>
      <c r="AC73" s="15">
        <v>2</v>
      </c>
      <c r="AD73" s="15">
        <v>0</v>
      </c>
      <c r="AE73" s="15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2"/>
      <c r="AV73" s="32"/>
      <c r="AW73" s="32"/>
      <c r="AX73" s="32"/>
      <c r="AY73" s="32"/>
    </row>
    <row r="74" spans="1:51" x14ac:dyDescent="0.2">
      <c r="A74" s="15" t="s">
        <v>107</v>
      </c>
      <c r="B74" s="28">
        <v>51.815100000000001</v>
      </c>
      <c r="C74" s="28">
        <v>-1.307833</v>
      </c>
      <c r="D74" t="s">
        <v>137</v>
      </c>
      <c r="E74" s="15" t="s">
        <v>96</v>
      </c>
      <c r="F74" s="15">
        <v>4</v>
      </c>
      <c r="G74" s="15">
        <v>3</v>
      </c>
      <c r="H74" s="15">
        <v>12</v>
      </c>
      <c r="I74" s="15">
        <v>59</v>
      </c>
      <c r="J74" s="15">
        <f t="shared" si="1"/>
        <v>6</v>
      </c>
      <c r="K74" s="15">
        <v>4</v>
      </c>
      <c r="L74" s="15" t="s">
        <v>97</v>
      </c>
      <c r="M74" s="15" t="s">
        <v>84</v>
      </c>
      <c r="N74" s="15" t="s">
        <v>84</v>
      </c>
      <c r="O74" s="15" t="s">
        <v>108</v>
      </c>
      <c r="P74" s="15">
        <v>0</v>
      </c>
      <c r="Q74" s="15">
        <v>16</v>
      </c>
      <c r="R74" s="15">
        <v>1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3</v>
      </c>
      <c r="Y74" s="15">
        <v>0</v>
      </c>
      <c r="Z74" s="15">
        <v>0</v>
      </c>
      <c r="AA74" s="15">
        <v>10</v>
      </c>
      <c r="AB74" s="15">
        <v>22</v>
      </c>
      <c r="AC74" s="15">
        <v>7</v>
      </c>
      <c r="AD74" s="15">
        <v>0</v>
      </c>
      <c r="AE74" s="15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2"/>
      <c r="AV74" s="32"/>
      <c r="AW74" s="32"/>
      <c r="AX74" s="32"/>
      <c r="AY74" s="32"/>
    </row>
    <row r="75" spans="1:51" x14ac:dyDescent="0.2">
      <c r="A75" s="15" t="s">
        <v>109</v>
      </c>
      <c r="B75" s="28">
        <v>51.816766999999999</v>
      </c>
      <c r="C75" s="28">
        <v>-1.3060499999999999</v>
      </c>
      <c r="D75" t="s">
        <v>137</v>
      </c>
      <c r="E75" s="15" t="s">
        <v>110</v>
      </c>
      <c r="F75" s="15">
        <v>2</v>
      </c>
      <c r="G75" s="15">
        <v>2</v>
      </c>
      <c r="H75" s="15">
        <v>4</v>
      </c>
      <c r="I75" s="15">
        <v>46</v>
      </c>
      <c r="J75" s="15">
        <f t="shared" si="1"/>
        <v>5</v>
      </c>
      <c r="K75" s="15">
        <v>268</v>
      </c>
      <c r="L75" s="15" t="s">
        <v>92</v>
      </c>
      <c r="M75" s="15" t="s">
        <v>104</v>
      </c>
      <c r="N75" s="15" t="s">
        <v>104</v>
      </c>
      <c r="O75" s="15" t="s">
        <v>99</v>
      </c>
      <c r="P75" s="15">
        <v>0</v>
      </c>
      <c r="Q75" s="15">
        <v>3</v>
      </c>
      <c r="R75" s="15">
        <v>0</v>
      </c>
      <c r="S75" s="15">
        <v>0</v>
      </c>
      <c r="T75" s="15">
        <v>0</v>
      </c>
      <c r="U75" s="15">
        <v>2</v>
      </c>
      <c r="V75" s="15">
        <v>0</v>
      </c>
      <c r="W75" s="15">
        <v>0</v>
      </c>
      <c r="X75" s="15">
        <v>3</v>
      </c>
      <c r="Y75" s="15">
        <v>0</v>
      </c>
      <c r="Z75" s="15">
        <v>0</v>
      </c>
      <c r="AA75" s="15">
        <v>7</v>
      </c>
      <c r="AB75" s="15">
        <v>0</v>
      </c>
      <c r="AC75" s="15">
        <v>31</v>
      </c>
      <c r="AD75" s="15">
        <v>0</v>
      </c>
      <c r="AE75" s="15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2"/>
      <c r="AV75" s="32"/>
      <c r="AW75" s="32"/>
      <c r="AX75" s="32"/>
      <c r="AY75" s="32"/>
    </row>
    <row r="76" spans="1:51" x14ac:dyDescent="0.2">
      <c r="A76" s="15" t="s">
        <v>111</v>
      </c>
      <c r="B76" s="28">
        <v>51.816682999999998</v>
      </c>
      <c r="C76" s="28">
        <v>-1.305917</v>
      </c>
      <c r="D76" t="s">
        <v>137</v>
      </c>
      <c r="E76" s="15" t="s">
        <v>110</v>
      </c>
      <c r="F76" s="15">
        <v>2</v>
      </c>
      <c r="G76" s="15">
        <v>2</v>
      </c>
      <c r="H76" s="15">
        <v>4</v>
      </c>
      <c r="I76" s="15">
        <v>42</v>
      </c>
      <c r="J76" s="15">
        <f t="shared" si="1"/>
        <v>7</v>
      </c>
      <c r="K76" s="15">
        <v>84</v>
      </c>
      <c r="L76" s="15" t="s">
        <v>88</v>
      </c>
      <c r="M76" s="15" t="s">
        <v>104</v>
      </c>
      <c r="N76" s="15" t="s">
        <v>104</v>
      </c>
      <c r="O76" s="15" t="s">
        <v>99</v>
      </c>
      <c r="P76" s="15">
        <v>0</v>
      </c>
      <c r="Q76" s="15">
        <v>13</v>
      </c>
      <c r="R76" s="15">
        <v>0</v>
      </c>
      <c r="S76" s="15">
        <v>1</v>
      </c>
      <c r="T76" s="15">
        <v>0</v>
      </c>
      <c r="U76" s="15">
        <v>1</v>
      </c>
      <c r="V76" s="15">
        <v>0</v>
      </c>
      <c r="W76" s="15">
        <v>0</v>
      </c>
      <c r="X76" s="15">
        <v>2</v>
      </c>
      <c r="Y76" s="15">
        <v>0</v>
      </c>
      <c r="Z76" s="15">
        <v>0</v>
      </c>
      <c r="AA76" s="15">
        <v>3</v>
      </c>
      <c r="AB76" s="15">
        <v>3</v>
      </c>
      <c r="AC76" s="15">
        <v>19</v>
      </c>
      <c r="AD76" s="15">
        <v>0</v>
      </c>
      <c r="AE76" s="15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2"/>
      <c r="AV76" s="32"/>
      <c r="AW76" s="32"/>
      <c r="AX76" s="32"/>
      <c r="AY76" s="32"/>
    </row>
    <row r="77" spans="1:51" x14ac:dyDescent="0.2">
      <c r="A77" s="15" t="s">
        <v>112</v>
      </c>
      <c r="B77" s="28">
        <v>51.815632999999998</v>
      </c>
      <c r="C77" s="28">
        <v>-1.2991999999999999</v>
      </c>
      <c r="D77" t="s">
        <v>137</v>
      </c>
      <c r="E77" s="15" t="s">
        <v>96</v>
      </c>
      <c r="F77" s="15">
        <v>4</v>
      </c>
      <c r="G77" s="15">
        <v>3</v>
      </c>
      <c r="H77" s="15">
        <v>12</v>
      </c>
      <c r="I77" s="15">
        <v>27</v>
      </c>
      <c r="J77" s="15">
        <f t="shared" si="1"/>
        <v>6</v>
      </c>
      <c r="K77" s="15">
        <v>179</v>
      </c>
      <c r="L77" s="15" t="s">
        <v>83</v>
      </c>
      <c r="M77" s="15" t="s">
        <v>84</v>
      </c>
      <c r="N77" s="15" t="s">
        <v>85</v>
      </c>
      <c r="O77" s="15" t="s">
        <v>113</v>
      </c>
      <c r="P77" s="15">
        <v>0</v>
      </c>
      <c r="Q77" s="15">
        <v>22</v>
      </c>
      <c r="R77" s="15">
        <v>0</v>
      </c>
      <c r="S77" s="15">
        <v>1</v>
      </c>
      <c r="T77" s="15">
        <v>0</v>
      </c>
      <c r="U77" s="15">
        <v>1</v>
      </c>
      <c r="V77" s="15">
        <v>0</v>
      </c>
      <c r="W77" s="15">
        <v>0</v>
      </c>
      <c r="X77" s="15">
        <v>1</v>
      </c>
      <c r="Y77" s="15">
        <v>0</v>
      </c>
      <c r="Z77" s="15">
        <v>0</v>
      </c>
      <c r="AA77" s="15">
        <v>1</v>
      </c>
      <c r="AB77" s="15">
        <v>1</v>
      </c>
      <c r="AC77" s="15">
        <v>0</v>
      </c>
      <c r="AD77" s="15">
        <v>0</v>
      </c>
      <c r="AE77" s="15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2"/>
      <c r="AV77" s="32"/>
      <c r="AW77" s="32"/>
      <c r="AX77" s="32"/>
      <c r="AY77" s="32"/>
    </row>
    <row r="78" spans="1:51" x14ac:dyDescent="0.2">
      <c r="A78" s="15" t="s">
        <v>114</v>
      </c>
      <c r="B78" s="28">
        <v>51.815617000000003</v>
      </c>
      <c r="C78" s="28">
        <v>-1.3024169999999999</v>
      </c>
      <c r="D78" t="s">
        <v>137</v>
      </c>
      <c r="E78" s="15" t="s">
        <v>73</v>
      </c>
      <c r="F78" s="15">
        <v>6</v>
      </c>
      <c r="G78" s="15">
        <v>3</v>
      </c>
      <c r="H78" s="15">
        <v>18</v>
      </c>
      <c r="I78" s="15">
        <v>37</v>
      </c>
      <c r="J78" s="15">
        <f t="shared" si="1"/>
        <v>6</v>
      </c>
      <c r="K78" s="15">
        <v>182</v>
      </c>
      <c r="L78" s="15" t="s">
        <v>83</v>
      </c>
      <c r="M78" s="15" t="s">
        <v>85</v>
      </c>
      <c r="N78" s="15" t="s">
        <v>85</v>
      </c>
      <c r="O78" s="15" t="s">
        <v>115</v>
      </c>
      <c r="P78" s="15">
        <v>0</v>
      </c>
      <c r="Q78" s="15">
        <v>18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2</v>
      </c>
      <c r="X78" s="15">
        <v>5</v>
      </c>
      <c r="Y78" s="15">
        <v>0</v>
      </c>
      <c r="Z78" s="15">
        <v>0</v>
      </c>
      <c r="AA78" s="15">
        <v>6</v>
      </c>
      <c r="AB78" s="15">
        <v>0</v>
      </c>
      <c r="AC78" s="15">
        <v>5</v>
      </c>
      <c r="AD78" s="15">
        <v>1</v>
      </c>
      <c r="AE78" s="15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2"/>
      <c r="AV78" s="32"/>
      <c r="AW78" s="32"/>
      <c r="AX78" s="32"/>
      <c r="AY78" s="32"/>
    </row>
    <row r="79" spans="1:51" x14ac:dyDescent="0.2">
      <c r="A79" s="15" t="s">
        <v>116</v>
      </c>
      <c r="B79" s="28">
        <v>51.813732999999999</v>
      </c>
      <c r="C79" s="28">
        <v>-1.3007169999999999</v>
      </c>
      <c r="D79" t="s">
        <v>137</v>
      </c>
      <c r="E79" s="15" t="s">
        <v>96</v>
      </c>
      <c r="F79" s="15">
        <v>4</v>
      </c>
      <c r="G79" s="15">
        <v>2</v>
      </c>
      <c r="H79" s="15">
        <v>8</v>
      </c>
      <c r="I79" s="15">
        <v>24</v>
      </c>
      <c r="J79" s="15">
        <f t="shared" si="1"/>
        <v>7</v>
      </c>
      <c r="K79" s="15">
        <v>165</v>
      </c>
      <c r="L79" s="15" t="s">
        <v>83</v>
      </c>
      <c r="M79" s="15" t="s">
        <v>76</v>
      </c>
      <c r="N79" s="15" t="s">
        <v>84</v>
      </c>
      <c r="O79" s="15" t="s">
        <v>86</v>
      </c>
      <c r="P79" s="15">
        <v>0</v>
      </c>
      <c r="Q79" s="15">
        <v>14</v>
      </c>
      <c r="R79" s="15">
        <v>0</v>
      </c>
      <c r="S79" s="15">
        <v>0</v>
      </c>
      <c r="T79" s="15">
        <v>0</v>
      </c>
      <c r="U79" s="15">
        <v>1</v>
      </c>
      <c r="V79" s="15">
        <v>0</v>
      </c>
      <c r="W79" s="15">
        <v>1</v>
      </c>
      <c r="X79" s="15">
        <v>3</v>
      </c>
      <c r="Y79" s="15">
        <v>0</v>
      </c>
      <c r="Z79" s="15">
        <v>0</v>
      </c>
      <c r="AA79" s="15">
        <v>2</v>
      </c>
      <c r="AB79" s="15">
        <v>0</v>
      </c>
      <c r="AC79" s="15">
        <v>2</v>
      </c>
      <c r="AD79" s="15">
        <v>1</v>
      </c>
      <c r="AE79" s="15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2"/>
      <c r="AV79" s="32"/>
      <c r="AW79" s="32"/>
      <c r="AX79" s="32"/>
      <c r="AY79" s="32"/>
    </row>
    <row r="80" spans="1:51" x14ac:dyDescent="0.2">
      <c r="A80" s="15" t="s">
        <v>117</v>
      </c>
      <c r="B80" s="28">
        <v>51.810867000000002</v>
      </c>
      <c r="C80" s="28">
        <v>-1.3022</v>
      </c>
      <c r="D80" t="s">
        <v>137</v>
      </c>
      <c r="E80" s="15" t="s">
        <v>79</v>
      </c>
      <c r="F80" s="15">
        <v>8</v>
      </c>
      <c r="G80" s="15">
        <v>3</v>
      </c>
      <c r="H80" s="15">
        <v>24</v>
      </c>
      <c r="I80" s="15">
        <v>61</v>
      </c>
      <c r="J80" s="15">
        <f t="shared" si="1"/>
        <v>7</v>
      </c>
      <c r="K80" s="15">
        <v>314</v>
      </c>
      <c r="L80" s="15" t="s">
        <v>103</v>
      </c>
      <c r="M80" s="15" t="s">
        <v>118</v>
      </c>
      <c r="N80" s="15" t="s">
        <v>75</v>
      </c>
      <c r="O80" s="15" t="s">
        <v>86</v>
      </c>
      <c r="P80" s="15">
        <v>0</v>
      </c>
      <c r="Q80" s="15">
        <v>19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1</v>
      </c>
      <c r="X80" s="15">
        <v>6</v>
      </c>
      <c r="Y80" s="15">
        <v>0</v>
      </c>
      <c r="Z80" s="15">
        <v>7</v>
      </c>
      <c r="AA80" s="15">
        <v>10</v>
      </c>
      <c r="AB80" s="15">
        <v>1</v>
      </c>
      <c r="AC80" s="15">
        <v>17</v>
      </c>
      <c r="AD80" s="15">
        <v>0</v>
      </c>
      <c r="AE80" s="15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2"/>
      <c r="AV80" s="32"/>
      <c r="AW80" s="32"/>
      <c r="AX80" s="32"/>
      <c r="AY80" s="32"/>
    </row>
    <row r="81" spans="1:51" x14ac:dyDescent="0.2">
      <c r="A81" s="15" t="s">
        <v>119</v>
      </c>
      <c r="B81" s="28">
        <v>51.818550000000002</v>
      </c>
      <c r="C81" s="28">
        <v>-1.2959670000000001</v>
      </c>
      <c r="D81" t="s">
        <v>137</v>
      </c>
      <c r="E81" s="15" t="s">
        <v>79</v>
      </c>
      <c r="F81" s="15">
        <v>8</v>
      </c>
      <c r="G81" s="15">
        <v>3</v>
      </c>
      <c r="H81" s="15">
        <v>24</v>
      </c>
      <c r="I81" s="15">
        <v>37</v>
      </c>
      <c r="J81" s="15">
        <f t="shared" si="1"/>
        <v>7</v>
      </c>
      <c r="K81" s="15">
        <v>211</v>
      </c>
      <c r="L81" s="15" t="s">
        <v>74</v>
      </c>
      <c r="M81" s="15" t="s">
        <v>118</v>
      </c>
      <c r="N81" s="15" t="s">
        <v>89</v>
      </c>
      <c r="O81" s="15" t="s">
        <v>115</v>
      </c>
      <c r="P81" s="15">
        <v>0</v>
      </c>
      <c r="Q81" s="15">
        <v>12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3</v>
      </c>
      <c r="X81" s="15">
        <v>7</v>
      </c>
      <c r="Y81" s="15">
        <v>0</v>
      </c>
      <c r="Z81" s="15">
        <v>3</v>
      </c>
      <c r="AA81" s="15">
        <v>4</v>
      </c>
      <c r="AB81" s="15">
        <v>1</v>
      </c>
      <c r="AC81" s="15">
        <v>7</v>
      </c>
      <c r="AD81" s="15">
        <v>0</v>
      </c>
      <c r="AE81" s="15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2"/>
      <c r="AV81" s="32"/>
      <c r="AW81" s="32"/>
      <c r="AX81" s="32"/>
      <c r="AY81" s="32"/>
    </row>
    <row r="82" spans="1:51" x14ac:dyDescent="0.2">
      <c r="A82" s="15" t="s">
        <v>120</v>
      </c>
      <c r="B82" s="28">
        <v>51.816716999999997</v>
      </c>
      <c r="C82" s="28">
        <v>-1.293917</v>
      </c>
      <c r="D82" t="s">
        <v>137</v>
      </c>
      <c r="E82" s="15" t="s">
        <v>79</v>
      </c>
      <c r="F82" s="15">
        <v>8</v>
      </c>
      <c r="G82" s="15">
        <v>2</v>
      </c>
      <c r="H82" s="15">
        <v>16</v>
      </c>
      <c r="I82" s="15">
        <v>60</v>
      </c>
      <c r="J82" s="15">
        <f t="shared" si="1"/>
        <v>7</v>
      </c>
      <c r="K82" s="15">
        <v>174</v>
      </c>
      <c r="L82" s="15" t="s">
        <v>83</v>
      </c>
      <c r="M82" s="15" t="s">
        <v>89</v>
      </c>
      <c r="N82" s="15" t="s">
        <v>85</v>
      </c>
      <c r="O82" s="15" t="s">
        <v>121</v>
      </c>
      <c r="P82" s="15">
        <v>0</v>
      </c>
      <c r="Q82" s="15">
        <v>33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7</v>
      </c>
      <c r="Y82" s="15">
        <v>0</v>
      </c>
      <c r="Z82" s="15">
        <v>7</v>
      </c>
      <c r="AA82" s="15">
        <v>4</v>
      </c>
      <c r="AB82" s="15">
        <v>1</v>
      </c>
      <c r="AC82" s="15">
        <v>5</v>
      </c>
      <c r="AD82" s="15">
        <v>3</v>
      </c>
      <c r="AE82" s="15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2"/>
      <c r="AV82" s="32"/>
      <c r="AW82" s="32"/>
      <c r="AX82" s="32"/>
      <c r="AY82" s="32"/>
    </row>
    <row r="83" spans="1:51" x14ac:dyDescent="0.2">
      <c r="A83" s="15" t="s">
        <v>122</v>
      </c>
      <c r="B83" s="28">
        <v>51.815533000000002</v>
      </c>
      <c r="C83" s="28">
        <v>-1.2947500000000001</v>
      </c>
      <c r="D83" t="s">
        <v>137</v>
      </c>
      <c r="E83" s="15" t="s">
        <v>73</v>
      </c>
      <c r="F83" s="15">
        <v>6</v>
      </c>
      <c r="G83" s="15">
        <v>3</v>
      </c>
      <c r="H83" s="15">
        <v>18</v>
      </c>
      <c r="I83" s="15">
        <v>46</v>
      </c>
      <c r="J83" s="15">
        <f t="shared" si="1"/>
        <v>8</v>
      </c>
      <c r="K83" s="15">
        <v>350</v>
      </c>
      <c r="L83" s="15" t="s">
        <v>97</v>
      </c>
      <c r="M83" s="15" t="s">
        <v>89</v>
      </c>
      <c r="N83" s="15" t="s">
        <v>85</v>
      </c>
      <c r="O83" s="15" t="s">
        <v>121</v>
      </c>
      <c r="P83" s="15">
        <v>0</v>
      </c>
      <c r="Q83" s="15">
        <v>15</v>
      </c>
      <c r="R83" s="15">
        <v>0</v>
      </c>
      <c r="S83" s="15">
        <v>1</v>
      </c>
      <c r="T83" s="15">
        <v>0</v>
      </c>
      <c r="U83" s="15">
        <v>2</v>
      </c>
      <c r="V83" s="15">
        <v>0</v>
      </c>
      <c r="W83" s="15">
        <v>0</v>
      </c>
      <c r="X83" s="15">
        <v>2</v>
      </c>
      <c r="Y83" s="15">
        <v>0</v>
      </c>
      <c r="Z83" s="15">
        <v>7</v>
      </c>
      <c r="AA83" s="15">
        <v>4</v>
      </c>
      <c r="AB83" s="15">
        <v>0</v>
      </c>
      <c r="AC83" s="15">
        <v>14</v>
      </c>
      <c r="AD83" s="15">
        <v>1</v>
      </c>
      <c r="AE83" s="15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2"/>
      <c r="AV83" s="32"/>
      <c r="AW83" s="32"/>
      <c r="AX83" s="32"/>
      <c r="AY83" s="32"/>
    </row>
    <row r="84" spans="1:51" x14ac:dyDescent="0.2">
      <c r="A84" s="15" t="s">
        <v>123</v>
      </c>
      <c r="B84" s="28">
        <v>51.815832999999998</v>
      </c>
      <c r="C84" s="28">
        <v>-1.29295</v>
      </c>
      <c r="D84" t="s">
        <v>137</v>
      </c>
      <c r="E84" s="15" t="s">
        <v>73</v>
      </c>
      <c r="F84" s="15">
        <v>6</v>
      </c>
      <c r="G84" s="15">
        <v>3</v>
      </c>
      <c r="H84" s="15">
        <v>18</v>
      </c>
      <c r="I84" s="15">
        <v>74</v>
      </c>
      <c r="J84" s="15">
        <f t="shared" si="1"/>
        <v>9</v>
      </c>
      <c r="K84" s="15">
        <v>161</v>
      </c>
      <c r="L84" s="15" t="s">
        <v>124</v>
      </c>
      <c r="M84" s="15" t="s">
        <v>76</v>
      </c>
      <c r="N84" s="15" t="s">
        <v>85</v>
      </c>
      <c r="O84" s="15" t="s">
        <v>121</v>
      </c>
      <c r="P84" s="15">
        <v>0</v>
      </c>
      <c r="Q84" s="15">
        <v>37</v>
      </c>
      <c r="R84" s="15">
        <v>0</v>
      </c>
      <c r="S84" s="15">
        <v>2</v>
      </c>
      <c r="T84" s="15">
        <v>0</v>
      </c>
      <c r="U84" s="15">
        <v>2</v>
      </c>
      <c r="V84" s="15">
        <v>0</v>
      </c>
      <c r="W84" s="15">
        <v>0</v>
      </c>
      <c r="X84" s="15">
        <v>6</v>
      </c>
      <c r="Y84" s="15">
        <v>2</v>
      </c>
      <c r="Z84" s="15">
        <v>1</v>
      </c>
      <c r="AA84" s="15">
        <v>6</v>
      </c>
      <c r="AB84" s="15">
        <v>0</v>
      </c>
      <c r="AC84" s="15">
        <v>16</v>
      </c>
      <c r="AD84" s="15">
        <v>2</v>
      </c>
      <c r="AE84" s="15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2"/>
      <c r="AV84" s="32"/>
      <c r="AW84" s="32"/>
      <c r="AX84" s="32"/>
      <c r="AY84" s="32"/>
    </row>
    <row r="85" spans="1:51" x14ac:dyDescent="0.2">
      <c r="A85" s="15" t="s">
        <v>125</v>
      </c>
      <c r="B85" s="28">
        <v>51.815133000000003</v>
      </c>
      <c r="C85" s="28">
        <v>-1.2927</v>
      </c>
      <c r="D85" t="s">
        <v>137</v>
      </c>
      <c r="E85" s="15" t="s">
        <v>79</v>
      </c>
      <c r="F85" s="15">
        <v>8</v>
      </c>
      <c r="G85" s="15">
        <v>3</v>
      </c>
      <c r="H85" s="15">
        <v>24</v>
      </c>
      <c r="I85" s="15">
        <v>58</v>
      </c>
      <c r="J85" s="15">
        <f t="shared" si="1"/>
        <v>8</v>
      </c>
      <c r="K85" s="15">
        <v>287</v>
      </c>
      <c r="L85" s="15" t="s">
        <v>92</v>
      </c>
      <c r="M85" s="15" t="s">
        <v>81</v>
      </c>
      <c r="N85" s="15" t="s">
        <v>89</v>
      </c>
      <c r="O85" s="15" t="s">
        <v>121</v>
      </c>
      <c r="P85" s="15">
        <v>0</v>
      </c>
      <c r="Q85" s="15">
        <v>29</v>
      </c>
      <c r="R85" s="15">
        <v>0</v>
      </c>
      <c r="S85" s="15">
        <v>0</v>
      </c>
      <c r="T85" s="15">
        <v>0</v>
      </c>
      <c r="U85" s="15">
        <v>3</v>
      </c>
      <c r="V85" s="15">
        <v>0</v>
      </c>
      <c r="W85" s="15">
        <v>2</v>
      </c>
      <c r="X85" s="15">
        <v>6</v>
      </c>
      <c r="Y85" s="15">
        <v>2</v>
      </c>
      <c r="Z85" s="15">
        <v>0</v>
      </c>
      <c r="AA85" s="15">
        <v>7</v>
      </c>
      <c r="AB85" s="15">
        <v>1</v>
      </c>
      <c r="AC85" s="15">
        <v>8</v>
      </c>
      <c r="AD85" s="15">
        <v>0</v>
      </c>
      <c r="AE85" s="15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2"/>
      <c r="AV85" s="32"/>
      <c r="AW85" s="32"/>
      <c r="AX85" s="32"/>
      <c r="AY85" s="32"/>
    </row>
    <row r="86" spans="1:51" x14ac:dyDescent="0.2">
      <c r="A86" s="15" t="s">
        <v>126</v>
      </c>
      <c r="B86" s="28">
        <v>51.815100000000001</v>
      </c>
      <c r="C86" s="28">
        <v>-1.2924329999999999</v>
      </c>
      <c r="D86" t="s">
        <v>137</v>
      </c>
      <c r="E86" s="15" t="s">
        <v>79</v>
      </c>
      <c r="F86" s="15">
        <v>8</v>
      </c>
      <c r="G86" s="15">
        <v>3</v>
      </c>
      <c r="H86" s="15">
        <v>24</v>
      </c>
      <c r="I86" s="15">
        <v>58</v>
      </c>
      <c r="J86" s="15">
        <f t="shared" si="1"/>
        <v>7</v>
      </c>
      <c r="K86" s="15">
        <v>117</v>
      </c>
      <c r="L86" s="15" t="s">
        <v>80</v>
      </c>
      <c r="M86" s="15" t="s">
        <v>81</v>
      </c>
      <c r="N86" s="15" t="s">
        <v>89</v>
      </c>
      <c r="O86" s="15" t="s">
        <v>113</v>
      </c>
      <c r="P86" s="15">
        <v>0</v>
      </c>
      <c r="Q86" s="15">
        <v>32</v>
      </c>
      <c r="R86" s="15">
        <v>1</v>
      </c>
      <c r="S86" s="15">
        <v>0</v>
      </c>
      <c r="T86" s="15">
        <v>0</v>
      </c>
      <c r="U86" s="15">
        <v>0</v>
      </c>
      <c r="V86" s="15">
        <v>0</v>
      </c>
      <c r="W86" s="15">
        <v>1</v>
      </c>
      <c r="X86" s="15">
        <v>3</v>
      </c>
      <c r="Y86" s="15">
        <v>0</v>
      </c>
      <c r="Z86" s="15">
        <v>0</v>
      </c>
      <c r="AA86" s="15">
        <v>11</v>
      </c>
      <c r="AB86" s="15">
        <v>4</v>
      </c>
      <c r="AC86" s="15">
        <v>6</v>
      </c>
      <c r="AD86" s="15">
        <v>0</v>
      </c>
      <c r="AE86" s="15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2"/>
      <c r="AV86" s="32"/>
      <c r="AW86" s="32"/>
      <c r="AX86" s="32"/>
      <c r="AY86" s="32"/>
    </row>
    <row r="87" spans="1:51" x14ac:dyDescent="0.2">
      <c r="A87" s="15" t="s">
        <v>127</v>
      </c>
      <c r="B87" s="28">
        <v>51.812600000000003</v>
      </c>
      <c r="C87" s="28">
        <v>-1.293833</v>
      </c>
      <c r="D87" t="s">
        <v>137</v>
      </c>
      <c r="E87" s="15" t="s">
        <v>79</v>
      </c>
      <c r="F87" s="15">
        <v>8</v>
      </c>
      <c r="G87" s="15">
        <v>3</v>
      </c>
      <c r="H87" s="15">
        <v>24</v>
      </c>
      <c r="I87" s="15">
        <v>80</v>
      </c>
      <c r="J87" s="15">
        <f t="shared" si="1"/>
        <v>6</v>
      </c>
      <c r="K87" s="15">
        <v>102</v>
      </c>
      <c r="L87" s="15" t="s">
        <v>88</v>
      </c>
      <c r="M87" s="15" t="s">
        <v>89</v>
      </c>
      <c r="N87" s="15" t="s">
        <v>75</v>
      </c>
      <c r="O87" s="15" t="s">
        <v>113</v>
      </c>
      <c r="P87" s="15">
        <v>0</v>
      </c>
      <c r="Q87" s="15">
        <v>45</v>
      </c>
      <c r="R87" s="15">
        <v>0</v>
      </c>
      <c r="S87" s="15">
        <v>0</v>
      </c>
      <c r="T87" s="15">
        <v>0</v>
      </c>
      <c r="U87" s="15">
        <v>2</v>
      </c>
      <c r="V87" s="15">
        <v>0</v>
      </c>
      <c r="W87" s="15">
        <v>1</v>
      </c>
      <c r="X87" s="15">
        <v>11</v>
      </c>
      <c r="Y87" s="15">
        <v>0</v>
      </c>
      <c r="Z87" s="15">
        <v>0</v>
      </c>
      <c r="AA87" s="15">
        <v>11</v>
      </c>
      <c r="AB87" s="15">
        <v>0</v>
      </c>
      <c r="AC87" s="15">
        <v>10</v>
      </c>
      <c r="AD87" s="15">
        <v>0</v>
      </c>
      <c r="AE87" s="15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51" x14ac:dyDescent="0.2">
      <c r="A88" s="15" t="s">
        <v>128</v>
      </c>
      <c r="B88" s="28">
        <v>51.809583000000003</v>
      </c>
      <c r="C88" s="28">
        <v>-1.2956669999999999</v>
      </c>
      <c r="D88" t="s">
        <v>137</v>
      </c>
      <c r="E88" s="15" t="s">
        <v>79</v>
      </c>
      <c r="F88" s="15">
        <v>8</v>
      </c>
      <c r="G88" s="15">
        <v>3</v>
      </c>
      <c r="H88" s="15">
        <v>24</v>
      </c>
      <c r="I88" s="15">
        <v>42</v>
      </c>
      <c r="J88" s="15">
        <f t="shared" si="1"/>
        <v>7</v>
      </c>
      <c r="K88" s="15">
        <v>98</v>
      </c>
      <c r="L88" s="15" t="s">
        <v>88</v>
      </c>
      <c r="M88" s="15" t="s">
        <v>75</v>
      </c>
      <c r="N88" s="15" t="s">
        <v>75</v>
      </c>
      <c r="O88" s="15" t="s">
        <v>113</v>
      </c>
      <c r="P88" s="15">
        <v>0</v>
      </c>
      <c r="Q88" s="15">
        <v>21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4</v>
      </c>
      <c r="Y88" s="15">
        <v>0</v>
      </c>
      <c r="Z88" s="15">
        <v>1</v>
      </c>
      <c r="AA88" s="15">
        <v>10</v>
      </c>
      <c r="AB88" s="15">
        <v>1</v>
      </c>
      <c r="AC88" s="15">
        <v>3</v>
      </c>
      <c r="AD88" s="15">
        <v>2</v>
      </c>
      <c r="AE88" s="15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51" x14ac:dyDescent="0.2">
      <c r="A89" s="15" t="s">
        <v>129</v>
      </c>
      <c r="B89" s="28">
        <v>51.807749999999999</v>
      </c>
      <c r="C89" s="28">
        <v>-1.29295</v>
      </c>
      <c r="D89" t="s">
        <v>137</v>
      </c>
      <c r="E89" s="15" t="s">
        <v>79</v>
      </c>
      <c r="F89" s="15">
        <v>8</v>
      </c>
      <c r="G89" s="15">
        <v>2</v>
      </c>
      <c r="H89" s="15">
        <v>16</v>
      </c>
      <c r="I89" s="15">
        <v>44</v>
      </c>
      <c r="J89" s="15">
        <f t="shared" si="1"/>
        <v>9</v>
      </c>
      <c r="K89" s="15">
        <v>285</v>
      </c>
      <c r="L89" s="15" t="s">
        <v>92</v>
      </c>
      <c r="M89" s="15" t="s">
        <v>75</v>
      </c>
      <c r="N89" s="15" t="s">
        <v>89</v>
      </c>
      <c r="O89" s="15" t="s">
        <v>113</v>
      </c>
      <c r="P89" s="15">
        <v>0</v>
      </c>
      <c r="Q89" s="15">
        <v>14</v>
      </c>
      <c r="R89" s="15">
        <v>0</v>
      </c>
      <c r="S89" s="15">
        <v>0</v>
      </c>
      <c r="T89" s="15">
        <v>1</v>
      </c>
      <c r="U89" s="15">
        <v>2</v>
      </c>
      <c r="V89" s="15">
        <v>0</v>
      </c>
      <c r="W89" s="15">
        <v>1</v>
      </c>
      <c r="X89" s="15">
        <v>7</v>
      </c>
      <c r="Y89" s="15">
        <v>0</v>
      </c>
      <c r="Z89" s="15">
        <v>2</v>
      </c>
      <c r="AA89" s="15">
        <v>5</v>
      </c>
      <c r="AB89" s="15">
        <v>9</v>
      </c>
      <c r="AC89" s="15">
        <v>3</v>
      </c>
      <c r="AD89" s="15">
        <v>0</v>
      </c>
      <c r="AE89" s="15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51" x14ac:dyDescent="0.2">
      <c r="A90" s="15" t="s">
        <v>130</v>
      </c>
      <c r="B90" s="28">
        <v>51.808599999999998</v>
      </c>
      <c r="C90" s="28">
        <v>-1.288683</v>
      </c>
      <c r="D90" t="s">
        <v>137</v>
      </c>
      <c r="E90" s="15" t="s">
        <v>73</v>
      </c>
      <c r="F90" s="15">
        <v>6</v>
      </c>
      <c r="G90" s="15">
        <v>3</v>
      </c>
      <c r="H90" s="15">
        <v>18</v>
      </c>
      <c r="I90" s="15">
        <v>82</v>
      </c>
      <c r="J90" s="15">
        <f t="shared" si="1"/>
        <v>8</v>
      </c>
      <c r="K90" s="15">
        <v>274</v>
      </c>
      <c r="L90" s="15" t="s">
        <v>92</v>
      </c>
      <c r="M90" s="15" t="s">
        <v>76</v>
      </c>
      <c r="N90" s="15" t="s">
        <v>89</v>
      </c>
      <c r="O90" s="15" t="s">
        <v>113</v>
      </c>
      <c r="P90" s="15">
        <v>1</v>
      </c>
      <c r="Q90" s="15">
        <v>36</v>
      </c>
      <c r="R90" s="15">
        <v>0</v>
      </c>
      <c r="S90" s="15">
        <v>0</v>
      </c>
      <c r="T90" s="15">
        <v>0</v>
      </c>
      <c r="U90" s="15">
        <v>1</v>
      </c>
      <c r="V90" s="15">
        <v>0</v>
      </c>
      <c r="W90" s="15">
        <v>1</v>
      </c>
      <c r="X90" s="15">
        <v>3</v>
      </c>
      <c r="Y90" s="15">
        <v>0</v>
      </c>
      <c r="Z90" s="15">
        <v>0</v>
      </c>
      <c r="AA90" s="15">
        <v>23</v>
      </c>
      <c r="AB90" s="15">
        <v>5</v>
      </c>
      <c r="AC90" s="15">
        <v>12</v>
      </c>
      <c r="AD90" s="15">
        <v>0</v>
      </c>
      <c r="AE90" s="15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51" x14ac:dyDescent="0.2">
      <c r="A91" s="15" t="s">
        <v>131</v>
      </c>
      <c r="B91" s="28">
        <v>51.811216999999999</v>
      </c>
      <c r="C91" s="28">
        <v>-1.2882830000000001</v>
      </c>
      <c r="D91" t="s">
        <v>137</v>
      </c>
      <c r="E91" s="15" t="s">
        <v>73</v>
      </c>
      <c r="F91" s="15">
        <v>6</v>
      </c>
      <c r="G91" s="15">
        <v>3</v>
      </c>
      <c r="H91" s="15">
        <v>18</v>
      </c>
      <c r="I91" s="15">
        <v>47</v>
      </c>
      <c r="J91" s="15">
        <f t="shared" si="1"/>
        <v>10</v>
      </c>
      <c r="K91" s="15">
        <v>278</v>
      </c>
      <c r="L91" s="15" t="s">
        <v>92</v>
      </c>
      <c r="M91" s="15" t="s">
        <v>76</v>
      </c>
      <c r="N91" s="15" t="s">
        <v>75</v>
      </c>
      <c r="O91" s="15" t="s">
        <v>113</v>
      </c>
      <c r="P91" s="15">
        <v>1</v>
      </c>
      <c r="Q91" s="15">
        <v>16</v>
      </c>
      <c r="R91" s="15">
        <v>0</v>
      </c>
      <c r="S91" s="15">
        <v>2</v>
      </c>
      <c r="T91" s="15">
        <v>10</v>
      </c>
      <c r="U91" s="15">
        <v>1</v>
      </c>
      <c r="V91" s="15">
        <v>0</v>
      </c>
      <c r="W91" s="15">
        <v>1</v>
      </c>
      <c r="X91" s="15">
        <v>1</v>
      </c>
      <c r="Y91" s="15">
        <v>0</v>
      </c>
      <c r="Z91" s="15">
        <v>0</v>
      </c>
      <c r="AA91" s="15">
        <v>7</v>
      </c>
      <c r="AB91" s="15">
        <v>4</v>
      </c>
      <c r="AC91" s="15">
        <v>4</v>
      </c>
      <c r="AD91" s="15">
        <v>0</v>
      </c>
      <c r="AE91" s="15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3766-663C-084B-A854-2E4F787FB98F}">
  <dimension ref="A1:BM91"/>
  <sheetViews>
    <sheetView zoomScale="75" zoomScaleNormal="35" workbookViewId="0">
      <selection activeCell="J81" sqref="J81"/>
    </sheetView>
  </sheetViews>
  <sheetFormatPr baseColWidth="10" defaultRowHeight="16" x14ac:dyDescent="0.2"/>
  <cols>
    <col min="4" max="4" width="5.33203125" bestFit="1" customWidth="1"/>
    <col min="5" max="5" width="59.33203125" bestFit="1" customWidth="1"/>
    <col min="15" max="15" width="18.6640625" bestFit="1" customWidth="1"/>
  </cols>
  <sheetData>
    <row r="1" spans="1:65" ht="91" x14ac:dyDescent="0.2">
      <c r="A1" s="1" t="s">
        <v>0</v>
      </c>
      <c r="B1" s="2" t="s">
        <v>1</v>
      </c>
      <c r="C1" s="2" t="s">
        <v>2</v>
      </c>
      <c r="D1" s="1" t="s">
        <v>134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16</v>
      </c>
      <c r="Q1" s="3" t="s">
        <v>262</v>
      </c>
      <c r="R1" s="3" t="s">
        <v>244</v>
      </c>
      <c r="S1" s="3" t="s">
        <v>263</v>
      </c>
      <c r="T1" s="3" t="s">
        <v>245</v>
      </c>
      <c r="U1" s="3" t="s">
        <v>264</v>
      </c>
      <c r="V1" s="3" t="s">
        <v>265</v>
      </c>
      <c r="W1" s="3" t="s">
        <v>247</v>
      </c>
      <c r="X1" s="3" t="s">
        <v>266</v>
      </c>
      <c r="Y1" s="3" t="s">
        <v>267</v>
      </c>
      <c r="Z1" s="3" t="s">
        <v>249</v>
      </c>
      <c r="AA1" s="3" t="s">
        <v>268</v>
      </c>
      <c r="AB1" s="3" t="s">
        <v>269</v>
      </c>
      <c r="AC1" s="3" t="s">
        <v>251</v>
      </c>
      <c r="AD1" s="6" t="s">
        <v>42</v>
      </c>
      <c r="AE1" s="6" t="s">
        <v>270</v>
      </c>
      <c r="AF1" s="6" t="s">
        <v>159</v>
      </c>
      <c r="AG1" s="7" t="s">
        <v>271</v>
      </c>
      <c r="AH1" s="7" t="s">
        <v>272</v>
      </c>
      <c r="AI1" s="7" t="s">
        <v>162</v>
      </c>
      <c r="AJ1" s="7" t="s">
        <v>71</v>
      </c>
      <c r="AK1" s="7" t="s">
        <v>57</v>
      </c>
      <c r="AL1" s="7" t="s">
        <v>237</v>
      </c>
      <c r="AM1" s="7" t="s">
        <v>234</v>
      </c>
      <c r="AN1" s="7" t="s">
        <v>236</v>
      </c>
      <c r="AO1" s="7" t="s">
        <v>273</v>
      </c>
      <c r="AP1" s="7" t="s">
        <v>274</v>
      </c>
      <c r="AQ1" s="7" t="s">
        <v>238</v>
      </c>
      <c r="AR1" s="7" t="s">
        <v>239</v>
      </c>
      <c r="AS1" s="7" t="s">
        <v>275</v>
      </c>
      <c r="AT1" s="7" t="s">
        <v>276</v>
      </c>
      <c r="AU1" s="7" t="s">
        <v>172</v>
      </c>
      <c r="AV1" s="7" t="s">
        <v>67</v>
      </c>
      <c r="AW1" s="7" t="s">
        <v>243</v>
      </c>
      <c r="AX1" s="9" t="s">
        <v>45</v>
      </c>
      <c r="AY1" s="9" t="s">
        <v>174</v>
      </c>
      <c r="AZ1" s="9" t="s">
        <v>255</v>
      </c>
      <c r="BA1" s="9" t="s">
        <v>277</v>
      </c>
      <c r="BB1" s="9" t="s">
        <v>278</v>
      </c>
      <c r="BC1" s="9" t="s">
        <v>178</v>
      </c>
      <c r="BD1" s="9" t="s">
        <v>279</v>
      </c>
      <c r="BE1" s="9" t="s">
        <v>256</v>
      </c>
      <c r="BF1" s="9" t="s">
        <v>181</v>
      </c>
      <c r="BG1" s="9" t="s">
        <v>182</v>
      </c>
      <c r="BH1" s="1" t="s">
        <v>280</v>
      </c>
      <c r="BI1" s="1" t="s">
        <v>281</v>
      </c>
      <c r="BJ1" s="1" t="s">
        <v>185</v>
      </c>
      <c r="BK1" s="1" t="s">
        <v>282</v>
      </c>
      <c r="BL1" s="1" t="s">
        <v>226</v>
      </c>
      <c r="BM1" s="1" t="s">
        <v>232</v>
      </c>
    </row>
    <row r="2" spans="1:65" x14ac:dyDescent="0.2">
      <c r="A2" t="s">
        <v>72</v>
      </c>
      <c r="B2" s="10">
        <v>51.822099999999999</v>
      </c>
      <c r="C2" s="10">
        <v>-1.2992330000000001</v>
      </c>
      <c r="D2" t="s">
        <v>135</v>
      </c>
      <c r="E2" t="s">
        <v>73</v>
      </c>
      <c r="F2">
        <v>6</v>
      </c>
      <c r="G2">
        <v>3</v>
      </c>
      <c r="H2">
        <f t="shared" ref="H2:H65" si="0">F2*G2</f>
        <v>18</v>
      </c>
      <c r="I2">
        <f>SUM(P2:BV2)</f>
        <v>23</v>
      </c>
      <c r="J2">
        <f>COUNTIF(P2:BV2,"&gt;0")</f>
        <v>13</v>
      </c>
      <c r="K2" s="13">
        <v>225</v>
      </c>
      <c r="L2" t="s">
        <v>74</v>
      </c>
      <c r="M2" t="s">
        <v>75</v>
      </c>
      <c r="N2" t="s">
        <v>76</v>
      </c>
      <c r="O2" t="s">
        <v>77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4</v>
      </c>
      <c r="Z2">
        <v>2</v>
      </c>
      <c r="AA2">
        <v>4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3</v>
      </c>
      <c r="AM2">
        <v>2</v>
      </c>
      <c r="AN2">
        <v>0</v>
      </c>
      <c r="AO2">
        <v>1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65" x14ac:dyDescent="0.2">
      <c r="A3" t="s">
        <v>78</v>
      </c>
      <c r="B3" s="10">
        <v>51.822516999999998</v>
      </c>
      <c r="C3" s="10">
        <v>-1.3022499999999999</v>
      </c>
      <c r="D3" t="s">
        <v>135</v>
      </c>
      <c r="E3" t="s">
        <v>79</v>
      </c>
      <c r="F3">
        <v>8</v>
      </c>
      <c r="G3">
        <v>3</v>
      </c>
      <c r="H3">
        <f t="shared" si="0"/>
        <v>24</v>
      </c>
      <c r="I3">
        <f t="shared" ref="I3:I66" si="1">SUM(P3:BV3)</f>
        <v>54</v>
      </c>
      <c r="J3">
        <f t="shared" ref="J3:J66" si="2">COUNTIF(P3:BV3,"&gt;0")</f>
        <v>16</v>
      </c>
      <c r="K3">
        <v>150</v>
      </c>
      <c r="L3" t="s">
        <v>80</v>
      </c>
      <c r="M3" t="s">
        <v>81</v>
      </c>
      <c r="N3" t="s">
        <v>75</v>
      </c>
      <c r="O3" t="s">
        <v>77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13</v>
      </c>
      <c r="Z3">
        <v>2</v>
      </c>
      <c r="AA3">
        <v>0</v>
      </c>
      <c r="AB3">
        <v>1</v>
      </c>
      <c r="AC3">
        <v>0</v>
      </c>
      <c r="AD3">
        <v>1</v>
      </c>
      <c r="AE3">
        <v>4</v>
      </c>
      <c r="AF3">
        <v>0</v>
      </c>
      <c r="AG3">
        <v>0</v>
      </c>
      <c r="AH3">
        <v>0</v>
      </c>
      <c r="AI3">
        <v>0</v>
      </c>
      <c r="AJ3">
        <v>1</v>
      </c>
      <c r="AK3">
        <v>4</v>
      </c>
      <c r="AL3">
        <v>5</v>
      </c>
      <c r="AM3">
        <v>2</v>
      </c>
      <c r="AN3">
        <v>0</v>
      </c>
      <c r="AO3">
        <v>5</v>
      </c>
      <c r="AP3">
        <v>0</v>
      </c>
      <c r="AQ3">
        <v>6</v>
      </c>
      <c r="AR3">
        <v>0</v>
      </c>
      <c r="AS3">
        <v>0</v>
      </c>
      <c r="AT3">
        <v>0</v>
      </c>
      <c r="AU3">
        <v>0</v>
      </c>
      <c r="AV3">
        <v>4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>
        <v>2</v>
      </c>
      <c r="BL3">
        <v>0</v>
      </c>
      <c r="BM3">
        <v>0</v>
      </c>
    </row>
    <row r="4" spans="1:65" x14ac:dyDescent="0.2">
      <c r="A4" t="s">
        <v>82</v>
      </c>
      <c r="B4" s="10">
        <v>51.823616999999999</v>
      </c>
      <c r="C4" s="10">
        <v>-1.3056000000000001</v>
      </c>
      <c r="D4" t="s">
        <v>135</v>
      </c>
      <c r="E4" t="s">
        <v>73</v>
      </c>
      <c r="F4">
        <v>6</v>
      </c>
      <c r="G4">
        <v>3</v>
      </c>
      <c r="H4">
        <f t="shared" si="0"/>
        <v>18</v>
      </c>
      <c r="I4">
        <f t="shared" si="1"/>
        <v>19</v>
      </c>
      <c r="J4">
        <f t="shared" si="2"/>
        <v>12</v>
      </c>
      <c r="K4">
        <v>179</v>
      </c>
      <c r="L4" t="s">
        <v>83</v>
      </c>
      <c r="M4" t="s">
        <v>84</v>
      </c>
      <c r="N4" t="s">
        <v>85</v>
      </c>
      <c r="O4" t="s">
        <v>86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4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5</v>
      </c>
      <c r="AL4">
        <v>1</v>
      </c>
      <c r="AM4">
        <v>0</v>
      </c>
      <c r="AN4">
        <v>0</v>
      </c>
      <c r="AO4">
        <v>1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">
      <c r="A5" t="s">
        <v>87</v>
      </c>
      <c r="B5" s="10">
        <v>51.822032999999998</v>
      </c>
      <c r="C5" s="10">
        <v>-1.30945</v>
      </c>
      <c r="D5" t="s">
        <v>135</v>
      </c>
      <c r="E5" t="s">
        <v>73</v>
      </c>
      <c r="F5">
        <v>6</v>
      </c>
      <c r="G5">
        <v>3</v>
      </c>
      <c r="H5">
        <f t="shared" si="0"/>
        <v>18</v>
      </c>
      <c r="I5">
        <f t="shared" si="1"/>
        <v>42</v>
      </c>
      <c r="J5">
        <f t="shared" si="2"/>
        <v>11</v>
      </c>
      <c r="K5">
        <v>88</v>
      </c>
      <c r="L5" t="s">
        <v>88</v>
      </c>
      <c r="M5" t="s">
        <v>81</v>
      </c>
      <c r="N5" t="s">
        <v>89</v>
      </c>
      <c r="O5" t="s">
        <v>86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11</v>
      </c>
      <c r="Z5">
        <v>0</v>
      </c>
      <c r="AA5">
        <v>0</v>
      </c>
      <c r="AB5">
        <v>0</v>
      </c>
      <c r="AC5">
        <v>1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</v>
      </c>
      <c r="AL5">
        <v>1</v>
      </c>
      <c r="AM5">
        <v>1</v>
      </c>
      <c r="AN5">
        <v>0</v>
      </c>
      <c r="AO5">
        <v>0</v>
      </c>
      <c r="AP5">
        <v>15</v>
      </c>
      <c r="AQ5">
        <v>2</v>
      </c>
      <c r="AR5">
        <v>0</v>
      </c>
      <c r="AS5">
        <v>0</v>
      </c>
      <c r="AT5">
        <v>0</v>
      </c>
      <c r="AU5">
        <v>0</v>
      </c>
      <c r="AV5">
        <v>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">
      <c r="A6" t="s">
        <v>90</v>
      </c>
      <c r="B6" s="10">
        <v>51.820900000000002</v>
      </c>
      <c r="C6" s="10">
        <v>-1.3093669999999999</v>
      </c>
      <c r="D6" t="s">
        <v>135</v>
      </c>
      <c r="E6" t="s">
        <v>91</v>
      </c>
      <c r="F6">
        <v>2</v>
      </c>
      <c r="G6">
        <v>2</v>
      </c>
      <c r="H6">
        <f t="shared" si="0"/>
        <v>4</v>
      </c>
      <c r="I6">
        <f t="shared" si="1"/>
        <v>20</v>
      </c>
      <c r="J6">
        <f t="shared" si="2"/>
        <v>9</v>
      </c>
      <c r="K6">
        <v>255</v>
      </c>
      <c r="L6" t="s">
        <v>92</v>
      </c>
      <c r="M6" t="s">
        <v>85</v>
      </c>
      <c r="N6" t="s">
        <v>84</v>
      </c>
      <c r="O6" t="s">
        <v>86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3</v>
      </c>
      <c r="W6">
        <v>0</v>
      </c>
      <c r="X6">
        <v>0</v>
      </c>
      <c r="Y6">
        <v>7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2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</v>
      </c>
      <c r="BM6">
        <v>0</v>
      </c>
    </row>
    <row r="7" spans="1:65" x14ac:dyDescent="0.2">
      <c r="A7" t="s">
        <v>93</v>
      </c>
      <c r="B7" s="10">
        <v>51.818367000000002</v>
      </c>
      <c r="C7" s="10">
        <v>-1.3125830000000001</v>
      </c>
      <c r="D7" t="s">
        <v>135</v>
      </c>
      <c r="E7" t="s">
        <v>73</v>
      </c>
      <c r="F7">
        <v>6</v>
      </c>
      <c r="G7">
        <v>2</v>
      </c>
      <c r="H7">
        <f t="shared" si="0"/>
        <v>12</v>
      </c>
      <c r="I7">
        <f t="shared" si="1"/>
        <v>22</v>
      </c>
      <c r="J7">
        <f t="shared" si="2"/>
        <v>7</v>
      </c>
      <c r="K7">
        <v>255</v>
      </c>
      <c r="L7" t="s">
        <v>92</v>
      </c>
      <c r="M7" t="s">
        <v>75</v>
      </c>
      <c r="N7" t="s">
        <v>85</v>
      </c>
      <c r="O7" t="s">
        <v>94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2</v>
      </c>
      <c r="AL7">
        <v>12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">
      <c r="A8" t="s">
        <v>95</v>
      </c>
      <c r="B8" s="10">
        <v>51.817667</v>
      </c>
      <c r="C8" s="10">
        <v>-1.314683</v>
      </c>
      <c r="D8" t="s">
        <v>135</v>
      </c>
      <c r="E8" t="s">
        <v>96</v>
      </c>
      <c r="F8">
        <v>4</v>
      </c>
      <c r="G8">
        <v>3</v>
      </c>
      <c r="H8">
        <f t="shared" si="0"/>
        <v>12</v>
      </c>
      <c r="I8">
        <f t="shared" si="1"/>
        <v>27</v>
      </c>
      <c r="J8">
        <f t="shared" si="2"/>
        <v>5</v>
      </c>
      <c r="K8">
        <v>2</v>
      </c>
      <c r="L8" t="s">
        <v>97</v>
      </c>
      <c r="M8" t="s">
        <v>84</v>
      </c>
      <c r="N8" t="s">
        <v>84</v>
      </c>
      <c r="O8" t="s">
        <v>94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10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13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</row>
    <row r="9" spans="1:65" x14ac:dyDescent="0.2">
      <c r="A9" t="s">
        <v>98</v>
      </c>
      <c r="B9" s="10">
        <v>51.817332999999998</v>
      </c>
      <c r="C9" s="10">
        <v>-1.3145</v>
      </c>
      <c r="D9" t="s">
        <v>135</v>
      </c>
      <c r="E9" t="s">
        <v>73</v>
      </c>
      <c r="F9">
        <v>6</v>
      </c>
      <c r="G9">
        <v>3</v>
      </c>
      <c r="H9">
        <f t="shared" si="0"/>
        <v>18</v>
      </c>
      <c r="I9">
        <f t="shared" si="1"/>
        <v>35</v>
      </c>
      <c r="J9">
        <f t="shared" si="2"/>
        <v>11</v>
      </c>
      <c r="K9">
        <v>171</v>
      </c>
      <c r="L9" t="s">
        <v>83</v>
      </c>
      <c r="M9" t="s">
        <v>81</v>
      </c>
      <c r="N9" t="s">
        <v>89</v>
      </c>
      <c r="O9" t="s">
        <v>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0</v>
      </c>
      <c r="X9">
        <v>0</v>
      </c>
      <c r="Y9">
        <v>16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7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">
      <c r="A10" t="s">
        <v>100</v>
      </c>
      <c r="B10" s="10">
        <v>51.816682999999998</v>
      </c>
      <c r="C10" s="10">
        <v>-1.31325</v>
      </c>
      <c r="D10" t="s">
        <v>135</v>
      </c>
      <c r="E10" t="s">
        <v>73</v>
      </c>
      <c r="F10">
        <v>6</v>
      </c>
      <c r="G10">
        <v>2</v>
      </c>
      <c r="H10">
        <f t="shared" si="0"/>
        <v>12</v>
      </c>
      <c r="I10">
        <f t="shared" si="1"/>
        <v>14</v>
      </c>
      <c r="J10">
        <f t="shared" si="2"/>
        <v>7</v>
      </c>
      <c r="K10">
        <v>268</v>
      </c>
      <c r="L10" t="s">
        <v>92</v>
      </c>
      <c r="M10" t="s">
        <v>75</v>
      </c>
      <c r="N10" t="s">
        <v>89</v>
      </c>
      <c r="O10" t="s">
        <v>94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3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</row>
    <row r="11" spans="1:65" x14ac:dyDescent="0.2">
      <c r="A11" t="s">
        <v>101</v>
      </c>
      <c r="B11" s="10">
        <v>51.815100000000001</v>
      </c>
      <c r="C11" s="10">
        <v>-1.313367</v>
      </c>
      <c r="D11" t="s">
        <v>135</v>
      </c>
      <c r="E11" t="s">
        <v>102</v>
      </c>
      <c r="F11">
        <v>1</v>
      </c>
      <c r="G11">
        <v>3</v>
      </c>
      <c r="H11">
        <f t="shared" si="0"/>
        <v>3</v>
      </c>
      <c r="I11">
        <f t="shared" si="1"/>
        <v>25</v>
      </c>
      <c r="J11">
        <f t="shared" si="2"/>
        <v>7</v>
      </c>
      <c r="K11">
        <v>333</v>
      </c>
      <c r="L11" t="s">
        <v>103</v>
      </c>
      <c r="M11" t="s">
        <v>104</v>
      </c>
      <c r="N11" t="s">
        <v>84</v>
      </c>
      <c r="O11" t="s">
        <v>94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</v>
      </c>
      <c r="W11">
        <v>0</v>
      </c>
      <c r="X11">
        <v>0</v>
      </c>
      <c r="Y11">
        <v>4</v>
      </c>
      <c r="Z11">
        <v>0</v>
      </c>
      <c r="AA11">
        <v>0</v>
      </c>
      <c r="AB11">
        <v>0</v>
      </c>
      <c r="AC11">
        <v>0</v>
      </c>
      <c r="AD11">
        <v>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5</v>
      </c>
      <c r="AL11">
        <v>2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">
      <c r="A12" t="s">
        <v>105</v>
      </c>
      <c r="B12" s="10">
        <v>51.817749999999997</v>
      </c>
      <c r="C12" s="10">
        <v>-1.310883</v>
      </c>
      <c r="D12" t="s">
        <v>135</v>
      </c>
      <c r="E12" t="s">
        <v>96</v>
      </c>
      <c r="F12">
        <v>4</v>
      </c>
      <c r="G12">
        <v>3</v>
      </c>
      <c r="H12">
        <f t="shared" si="0"/>
        <v>12</v>
      </c>
      <c r="I12">
        <f t="shared" si="1"/>
        <v>21</v>
      </c>
      <c r="J12">
        <f t="shared" si="2"/>
        <v>4</v>
      </c>
      <c r="K12">
        <v>0</v>
      </c>
      <c r="L12" t="s">
        <v>97</v>
      </c>
      <c r="M12" t="s">
        <v>85</v>
      </c>
      <c r="N12" t="s">
        <v>84</v>
      </c>
      <c r="O12" t="s">
        <v>94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">
      <c r="A13" t="s">
        <v>106</v>
      </c>
      <c r="B13" s="10">
        <v>51.816133000000001</v>
      </c>
      <c r="C13" s="10">
        <v>-1.3091330000000001</v>
      </c>
      <c r="D13" t="s">
        <v>135</v>
      </c>
      <c r="E13" t="s">
        <v>96</v>
      </c>
      <c r="F13">
        <v>4</v>
      </c>
      <c r="G13">
        <v>3</v>
      </c>
      <c r="H13">
        <f t="shared" si="0"/>
        <v>12</v>
      </c>
      <c r="I13">
        <f t="shared" si="1"/>
        <v>13</v>
      </c>
      <c r="J13">
        <f t="shared" si="2"/>
        <v>7</v>
      </c>
      <c r="K13">
        <v>358</v>
      </c>
      <c r="L13" t="s">
        <v>97</v>
      </c>
      <c r="M13" t="s">
        <v>85</v>
      </c>
      <c r="N13" t="s">
        <v>85</v>
      </c>
      <c r="O13" t="s">
        <v>94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3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">
      <c r="A14" t="s">
        <v>107</v>
      </c>
      <c r="B14" s="10">
        <v>51.815100000000001</v>
      </c>
      <c r="C14" s="10">
        <v>-1.307833</v>
      </c>
      <c r="D14" t="s">
        <v>135</v>
      </c>
      <c r="E14" t="s">
        <v>96</v>
      </c>
      <c r="F14">
        <v>4</v>
      </c>
      <c r="G14">
        <v>3</v>
      </c>
      <c r="H14">
        <f t="shared" si="0"/>
        <v>12</v>
      </c>
      <c r="I14">
        <f t="shared" si="1"/>
        <v>13</v>
      </c>
      <c r="J14">
        <f t="shared" si="2"/>
        <v>5</v>
      </c>
      <c r="K14">
        <v>4</v>
      </c>
      <c r="L14" t="s">
        <v>97</v>
      </c>
      <c r="M14" t="s">
        <v>84</v>
      </c>
      <c r="N14" t="s">
        <v>84</v>
      </c>
      <c r="O14" t="s">
        <v>108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">
      <c r="A15" t="s">
        <v>109</v>
      </c>
      <c r="B15" s="10">
        <v>51.816766999999999</v>
      </c>
      <c r="C15" s="10">
        <v>-1.3060499999999999</v>
      </c>
      <c r="D15" t="s">
        <v>135</v>
      </c>
      <c r="E15" t="s">
        <v>110</v>
      </c>
      <c r="F15">
        <v>2</v>
      </c>
      <c r="G15">
        <v>2</v>
      </c>
      <c r="H15">
        <f t="shared" si="0"/>
        <v>4</v>
      </c>
      <c r="I15">
        <f t="shared" si="1"/>
        <v>23</v>
      </c>
      <c r="J15">
        <f t="shared" si="2"/>
        <v>6</v>
      </c>
      <c r="K15">
        <v>268</v>
      </c>
      <c r="L15" t="s">
        <v>92</v>
      </c>
      <c r="M15" t="s">
        <v>104</v>
      </c>
      <c r="N15" t="s">
        <v>104</v>
      </c>
      <c r="O15" t="s">
        <v>99</v>
      </c>
      <c r="P15">
        <v>0</v>
      </c>
      <c r="Q15">
        <v>4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</v>
      </c>
      <c r="AL15">
        <v>10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">
      <c r="A16" t="s">
        <v>111</v>
      </c>
      <c r="B16" s="10">
        <v>51.816682999999998</v>
      </c>
      <c r="C16" s="10">
        <v>-1.305917</v>
      </c>
      <c r="D16" t="s">
        <v>135</v>
      </c>
      <c r="E16" t="s">
        <v>110</v>
      </c>
      <c r="F16">
        <v>2</v>
      </c>
      <c r="G16">
        <v>2</v>
      </c>
      <c r="H16">
        <f t="shared" si="0"/>
        <v>4</v>
      </c>
      <c r="I16">
        <f t="shared" si="1"/>
        <v>30</v>
      </c>
      <c r="J16">
        <f t="shared" si="2"/>
        <v>8</v>
      </c>
      <c r="K16">
        <v>84</v>
      </c>
      <c r="L16" t="s">
        <v>88</v>
      </c>
      <c r="M16" t="s">
        <v>104</v>
      </c>
      <c r="N16" t="s">
        <v>104</v>
      </c>
      <c r="O16" t="s">
        <v>99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4</v>
      </c>
      <c r="W16">
        <v>0</v>
      </c>
      <c r="X16">
        <v>0</v>
      </c>
      <c r="Y16">
        <v>0</v>
      </c>
      <c r="Z16">
        <v>3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7</v>
      </c>
      <c r="AL16">
        <v>7</v>
      </c>
      <c r="AM16">
        <v>0</v>
      </c>
      <c r="AN16">
        <v>0</v>
      </c>
      <c r="AO16">
        <v>0</v>
      </c>
      <c r="AP16">
        <v>3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">
      <c r="A17" t="s">
        <v>112</v>
      </c>
      <c r="B17" s="10">
        <v>51.815632999999998</v>
      </c>
      <c r="C17" s="10">
        <v>-1.2991999999999999</v>
      </c>
      <c r="D17" t="s">
        <v>135</v>
      </c>
      <c r="E17" t="s">
        <v>96</v>
      </c>
      <c r="F17">
        <v>4</v>
      </c>
      <c r="G17">
        <v>3</v>
      </c>
      <c r="H17">
        <f t="shared" si="0"/>
        <v>12</v>
      </c>
      <c r="I17">
        <f t="shared" si="1"/>
        <v>12</v>
      </c>
      <c r="J17">
        <f t="shared" si="2"/>
        <v>5</v>
      </c>
      <c r="K17">
        <v>179</v>
      </c>
      <c r="L17" t="s">
        <v>83</v>
      </c>
      <c r="M17" t="s">
        <v>84</v>
      </c>
      <c r="N17" t="s">
        <v>85</v>
      </c>
      <c r="O17" t="s">
        <v>113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</row>
    <row r="18" spans="1:65" x14ac:dyDescent="0.2">
      <c r="A18" t="s">
        <v>114</v>
      </c>
      <c r="B18" s="10">
        <v>51.815617000000003</v>
      </c>
      <c r="C18" s="10">
        <v>-1.3024169999999999</v>
      </c>
      <c r="D18" t="s">
        <v>135</v>
      </c>
      <c r="E18" t="s">
        <v>73</v>
      </c>
      <c r="F18">
        <v>6</v>
      </c>
      <c r="G18">
        <v>3</v>
      </c>
      <c r="H18">
        <f t="shared" si="0"/>
        <v>18</v>
      </c>
      <c r="I18">
        <f t="shared" si="1"/>
        <v>18</v>
      </c>
      <c r="J18">
        <f t="shared" si="2"/>
        <v>8</v>
      </c>
      <c r="K18">
        <v>182</v>
      </c>
      <c r="L18" t="s">
        <v>83</v>
      </c>
      <c r="M18" t="s">
        <v>85</v>
      </c>
      <c r="N18" t="s">
        <v>85</v>
      </c>
      <c r="O18" t="s">
        <v>115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8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">
      <c r="A19" t="s">
        <v>116</v>
      </c>
      <c r="B19" s="10">
        <v>51.813732999999999</v>
      </c>
      <c r="C19" s="10">
        <v>-1.3007169999999999</v>
      </c>
      <c r="D19" t="s">
        <v>135</v>
      </c>
      <c r="E19" t="s">
        <v>96</v>
      </c>
      <c r="F19">
        <v>4</v>
      </c>
      <c r="G19">
        <v>2</v>
      </c>
      <c r="H19">
        <f t="shared" si="0"/>
        <v>8</v>
      </c>
      <c r="I19">
        <f t="shared" si="1"/>
        <v>19</v>
      </c>
      <c r="J19">
        <f t="shared" si="2"/>
        <v>7</v>
      </c>
      <c r="K19">
        <v>165</v>
      </c>
      <c r="L19" t="s">
        <v>83</v>
      </c>
      <c r="M19" t="s">
        <v>76</v>
      </c>
      <c r="N19" t="s">
        <v>84</v>
      </c>
      <c r="O19" t="s">
        <v>86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v>1</v>
      </c>
      <c r="X19">
        <v>0</v>
      </c>
      <c r="Y19">
        <v>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4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">
      <c r="A20" t="s">
        <v>117</v>
      </c>
      <c r="B20" s="10">
        <v>51.810867000000002</v>
      </c>
      <c r="C20" s="10">
        <v>-1.3022</v>
      </c>
      <c r="D20" t="s">
        <v>135</v>
      </c>
      <c r="E20" t="s">
        <v>79</v>
      </c>
      <c r="F20">
        <v>8</v>
      </c>
      <c r="G20">
        <v>3</v>
      </c>
      <c r="H20">
        <f t="shared" si="0"/>
        <v>24</v>
      </c>
      <c r="I20">
        <f t="shared" si="1"/>
        <v>22</v>
      </c>
      <c r="J20">
        <f t="shared" si="2"/>
        <v>9</v>
      </c>
      <c r="K20">
        <v>314</v>
      </c>
      <c r="L20" t="s">
        <v>103</v>
      </c>
      <c r="M20" t="s">
        <v>118</v>
      </c>
      <c r="N20" t="s">
        <v>75</v>
      </c>
      <c r="O20" t="s">
        <v>86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3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</v>
      </c>
      <c r="AJ20">
        <v>0</v>
      </c>
      <c r="AK20">
        <v>1</v>
      </c>
      <c r="AL20">
        <v>11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</row>
    <row r="21" spans="1:65" x14ac:dyDescent="0.2">
      <c r="A21" t="s">
        <v>119</v>
      </c>
      <c r="B21" s="10">
        <v>51.818550000000002</v>
      </c>
      <c r="C21" s="10">
        <v>-1.2959670000000001</v>
      </c>
      <c r="D21" t="s">
        <v>135</v>
      </c>
      <c r="E21" t="s">
        <v>79</v>
      </c>
      <c r="F21">
        <v>8</v>
      </c>
      <c r="G21">
        <v>3</v>
      </c>
      <c r="H21">
        <f t="shared" si="0"/>
        <v>24</v>
      </c>
      <c r="I21">
        <f t="shared" si="1"/>
        <v>15</v>
      </c>
      <c r="J21">
        <f t="shared" si="2"/>
        <v>6</v>
      </c>
      <c r="K21">
        <v>211</v>
      </c>
      <c r="L21" t="s">
        <v>74</v>
      </c>
      <c r="M21" t="s">
        <v>118</v>
      </c>
      <c r="N21" t="s">
        <v>89</v>
      </c>
      <c r="O21" t="s">
        <v>115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7</v>
      </c>
      <c r="AJ21">
        <v>1</v>
      </c>
      <c r="AK21">
        <v>0</v>
      </c>
      <c r="AL21">
        <v>3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">
      <c r="A22" t="s">
        <v>120</v>
      </c>
      <c r="B22" s="10">
        <v>51.816716999999997</v>
      </c>
      <c r="C22" s="10">
        <v>-1.293917</v>
      </c>
      <c r="D22" t="s">
        <v>135</v>
      </c>
      <c r="E22" t="s">
        <v>79</v>
      </c>
      <c r="F22">
        <v>8</v>
      </c>
      <c r="G22">
        <v>2</v>
      </c>
      <c r="H22">
        <f t="shared" si="0"/>
        <v>16</v>
      </c>
      <c r="I22">
        <f t="shared" si="1"/>
        <v>17</v>
      </c>
      <c r="J22">
        <f t="shared" si="2"/>
        <v>12</v>
      </c>
      <c r="K22">
        <v>174</v>
      </c>
      <c r="L22" t="s">
        <v>83</v>
      </c>
      <c r="M22" t="s">
        <v>89</v>
      </c>
      <c r="N22" t="s">
        <v>85</v>
      </c>
      <c r="O22" t="s">
        <v>121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3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2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1</v>
      </c>
    </row>
    <row r="23" spans="1:65" x14ac:dyDescent="0.2">
      <c r="A23" t="s">
        <v>122</v>
      </c>
      <c r="B23" s="10">
        <v>51.815533000000002</v>
      </c>
      <c r="C23" s="10">
        <v>-1.2947500000000001</v>
      </c>
      <c r="D23" t="s">
        <v>135</v>
      </c>
      <c r="E23" t="s">
        <v>73</v>
      </c>
      <c r="F23">
        <v>6</v>
      </c>
      <c r="G23">
        <v>3</v>
      </c>
      <c r="H23">
        <f t="shared" si="0"/>
        <v>18</v>
      </c>
      <c r="I23">
        <f t="shared" si="1"/>
        <v>28</v>
      </c>
      <c r="J23">
        <f t="shared" si="2"/>
        <v>8</v>
      </c>
      <c r="K23">
        <v>350</v>
      </c>
      <c r="L23" t="s">
        <v>97</v>
      </c>
      <c r="M23" t="s">
        <v>89</v>
      </c>
      <c r="N23" t="s">
        <v>85</v>
      </c>
      <c r="O23" t="s">
        <v>121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12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">
      <c r="A24" t="s">
        <v>123</v>
      </c>
      <c r="B24" s="10">
        <v>51.815832999999998</v>
      </c>
      <c r="C24" s="10">
        <v>-1.29295</v>
      </c>
      <c r="D24" t="s">
        <v>135</v>
      </c>
      <c r="E24" t="s">
        <v>73</v>
      </c>
      <c r="F24">
        <v>6</v>
      </c>
      <c r="G24">
        <v>3</v>
      </c>
      <c r="H24">
        <f t="shared" si="0"/>
        <v>18</v>
      </c>
      <c r="I24">
        <f t="shared" si="1"/>
        <v>36</v>
      </c>
      <c r="J24">
        <f t="shared" si="2"/>
        <v>11</v>
      </c>
      <c r="K24">
        <v>161</v>
      </c>
      <c r="L24" t="s">
        <v>124</v>
      </c>
      <c r="M24" t="s">
        <v>76</v>
      </c>
      <c r="N24" t="s">
        <v>85</v>
      </c>
      <c r="O24" t="s">
        <v>121</v>
      </c>
      <c r="P24">
        <v>0</v>
      </c>
      <c r="Q24">
        <v>0</v>
      </c>
      <c r="R24">
        <v>0</v>
      </c>
      <c r="S24">
        <v>0</v>
      </c>
      <c r="T24">
        <v>2</v>
      </c>
      <c r="U24">
        <v>7</v>
      </c>
      <c r="V24">
        <v>1</v>
      </c>
      <c r="W24">
        <v>0</v>
      </c>
      <c r="X24">
        <v>0</v>
      </c>
      <c r="Y24">
        <v>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2</v>
      </c>
      <c r="AL24">
        <v>14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">
      <c r="A25" t="s">
        <v>125</v>
      </c>
      <c r="B25" s="10">
        <v>51.815133000000003</v>
      </c>
      <c r="C25" s="10">
        <v>-1.2927</v>
      </c>
      <c r="D25" t="s">
        <v>135</v>
      </c>
      <c r="E25" t="s">
        <v>79</v>
      </c>
      <c r="F25">
        <v>8</v>
      </c>
      <c r="G25">
        <v>3</v>
      </c>
      <c r="H25">
        <f t="shared" si="0"/>
        <v>24</v>
      </c>
      <c r="I25">
        <f t="shared" si="1"/>
        <v>23</v>
      </c>
      <c r="J25">
        <f t="shared" si="2"/>
        <v>12</v>
      </c>
      <c r="K25">
        <v>287</v>
      </c>
      <c r="L25" t="s">
        <v>92</v>
      </c>
      <c r="M25" t="s">
        <v>81</v>
      </c>
      <c r="N25" t="s">
        <v>89</v>
      </c>
      <c r="O25" t="s">
        <v>121</v>
      </c>
      <c r="P25">
        <v>0</v>
      </c>
      <c r="Q25">
        <v>0</v>
      </c>
      <c r="R25">
        <v>0</v>
      </c>
      <c r="S25">
        <v>1</v>
      </c>
      <c r="T25">
        <v>2</v>
      </c>
      <c r="U25">
        <v>0</v>
      </c>
      <c r="V25">
        <v>1</v>
      </c>
      <c r="W25">
        <v>0</v>
      </c>
      <c r="X25">
        <v>0</v>
      </c>
      <c r="Y25">
        <v>7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2</v>
      </c>
      <c r="AM25">
        <v>0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4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">
      <c r="A26" t="s">
        <v>126</v>
      </c>
      <c r="B26" s="10">
        <v>51.815100000000001</v>
      </c>
      <c r="C26" s="10">
        <v>-1.2924329999999999</v>
      </c>
      <c r="D26" t="s">
        <v>135</v>
      </c>
      <c r="E26" t="s">
        <v>79</v>
      </c>
      <c r="F26">
        <v>8</v>
      </c>
      <c r="G26">
        <v>3</v>
      </c>
      <c r="H26">
        <f t="shared" si="0"/>
        <v>24</v>
      </c>
      <c r="I26">
        <f t="shared" si="1"/>
        <v>22</v>
      </c>
      <c r="J26">
        <f t="shared" si="2"/>
        <v>7</v>
      </c>
      <c r="K26">
        <v>117</v>
      </c>
      <c r="L26" t="s">
        <v>80</v>
      </c>
      <c r="M26" t="s">
        <v>81</v>
      </c>
      <c r="N26" t="s">
        <v>89</v>
      </c>
      <c r="O26" t="s">
        <v>113</v>
      </c>
      <c r="P26">
        <v>0</v>
      </c>
      <c r="Q26">
        <v>4</v>
      </c>
      <c r="R26">
        <v>0</v>
      </c>
      <c r="S26">
        <v>0</v>
      </c>
      <c r="T26">
        <v>0</v>
      </c>
      <c r="U26">
        <v>0</v>
      </c>
      <c r="V26">
        <v>6</v>
      </c>
      <c r="W26">
        <v>0</v>
      </c>
      <c r="X26">
        <v>0</v>
      </c>
      <c r="Y26">
        <v>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4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">
      <c r="A27" t="s">
        <v>127</v>
      </c>
      <c r="B27" s="10">
        <v>51.812600000000003</v>
      </c>
      <c r="C27" s="10">
        <v>-1.293833</v>
      </c>
      <c r="D27" t="s">
        <v>135</v>
      </c>
      <c r="E27" t="s">
        <v>79</v>
      </c>
      <c r="F27">
        <v>8</v>
      </c>
      <c r="G27">
        <v>3</v>
      </c>
      <c r="H27">
        <f t="shared" si="0"/>
        <v>24</v>
      </c>
      <c r="I27">
        <f t="shared" si="1"/>
        <v>29</v>
      </c>
      <c r="J27">
        <f t="shared" si="2"/>
        <v>10</v>
      </c>
      <c r="K27">
        <v>102</v>
      </c>
      <c r="L27" t="s">
        <v>88</v>
      </c>
      <c r="M27" t="s">
        <v>89</v>
      </c>
      <c r="N27" t="s">
        <v>75</v>
      </c>
      <c r="O27" t="s">
        <v>113</v>
      </c>
      <c r="P27">
        <v>0</v>
      </c>
      <c r="Q27">
        <v>4</v>
      </c>
      <c r="R27">
        <v>0</v>
      </c>
      <c r="S27">
        <v>0</v>
      </c>
      <c r="T27">
        <v>1</v>
      </c>
      <c r="U27">
        <v>0</v>
      </c>
      <c r="V27">
        <v>2</v>
      </c>
      <c r="W27">
        <v>1</v>
      </c>
      <c r="X27">
        <v>0</v>
      </c>
      <c r="Y27">
        <v>8</v>
      </c>
      <c r="Z27">
        <v>2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7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">
      <c r="A28" t="s">
        <v>128</v>
      </c>
      <c r="B28" s="10">
        <v>51.809583000000003</v>
      </c>
      <c r="C28" s="10">
        <v>-1.2956669999999999</v>
      </c>
      <c r="D28" t="s">
        <v>135</v>
      </c>
      <c r="E28" t="s">
        <v>79</v>
      </c>
      <c r="F28">
        <v>8</v>
      </c>
      <c r="G28">
        <v>3</v>
      </c>
      <c r="H28">
        <f t="shared" si="0"/>
        <v>24</v>
      </c>
      <c r="I28">
        <f t="shared" si="1"/>
        <v>40</v>
      </c>
      <c r="J28">
        <f t="shared" si="2"/>
        <v>12</v>
      </c>
      <c r="K28">
        <v>98</v>
      </c>
      <c r="L28" t="s">
        <v>88</v>
      </c>
      <c r="M28" t="s">
        <v>75</v>
      </c>
      <c r="N28" t="s">
        <v>75</v>
      </c>
      <c r="O28" t="s">
        <v>113</v>
      </c>
      <c r="P28">
        <v>1</v>
      </c>
      <c r="Q28">
        <v>8</v>
      </c>
      <c r="R28">
        <v>0</v>
      </c>
      <c r="S28">
        <v>2</v>
      </c>
      <c r="T28">
        <v>0</v>
      </c>
      <c r="U28">
        <v>1</v>
      </c>
      <c r="V28">
        <v>2</v>
      </c>
      <c r="W28">
        <v>0</v>
      </c>
      <c r="X28">
        <v>0</v>
      </c>
      <c r="Y28">
        <v>17</v>
      </c>
      <c r="Z28">
        <v>1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">
      <c r="A29" t="s">
        <v>129</v>
      </c>
      <c r="B29" s="10">
        <v>51.807749999999999</v>
      </c>
      <c r="C29" s="10">
        <v>-1.29295</v>
      </c>
      <c r="D29" t="s">
        <v>135</v>
      </c>
      <c r="E29" t="s">
        <v>79</v>
      </c>
      <c r="F29">
        <v>8</v>
      </c>
      <c r="G29">
        <v>2</v>
      </c>
      <c r="H29">
        <f t="shared" si="0"/>
        <v>16</v>
      </c>
      <c r="I29">
        <f t="shared" si="1"/>
        <v>18</v>
      </c>
      <c r="J29">
        <f t="shared" si="2"/>
        <v>10</v>
      </c>
      <c r="K29">
        <v>285</v>
      </c>
      <c r="L29" t="s">
        <v>92</v>
      </c>
      <c r="M29" t="s">
        <v>75</v>
      </c>
      <c r="N29" t="s">
        <v>89</v>
      </c>
      <c r="O29" t="s">
        <v>113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</v>
      </c>
      <c r="AL29">
        <v>3</v>
      </c>
      <c r="AM29">
        <v>3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">
      <c r="A30" t="s">
        <v>130</v>
      </c>
      <c r="B30" s="10">
        <v>51.808599999999998</v>
      </c>
      <c r="C30" s="10">
        <v>-1.288683</v>
      </c>
      <c r="D30" t="s">
        <v>135</v>
      </c>
      <c r="E30" t="s">
        <v>73</v>
      </c>
      <c r="F30">
        <v>6</v>
      </c>
      <c r="G30">
        <v>3</v>
      </c>
      <c r="H30">
        <f t="shared" si="0"/>
        <v>18</v>
      </c>
      <c r="I30">
        <f t="shared" si="1"/>
        <v>25</v>
      </c>
      <c r="J30">
        <f t="shared" si="2"/>
        <v>10</v>
      </c>
      <c r="K30">
        <v>274</v>
      </c>
      <c r="L30" t="s">
        <v>92</v>
      </c>
      <c r="M30" t="s">
        <v>76</v>
      </c>
      <c r="N30" t="s">
        <v>89</v>
      </c>
      <c r="O30" t="s">
        <v>113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7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3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4</v>
      </c>
      <c r="AL30">
        <v>4</v>
      </c>
      <c r="AM30">
        <v>0</v>
      </c>
      <c r="AN30">
        <v>0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">
      <c r="A31" t="s">
        <v>131</v>
      </c>
      <c r="B31" s="10">
        <v>51.811216999999999</v>
      </c>
      <c r="C31" s="10">
        <v>-1.2882830000000001</v>
      </c>
      <c r="D31" t="s">
        <v>135</v>
      </c>
      <c r="E31" t="s">
        <v>73</v>
      </c>
      <c r="F31">
        <v>6</v>
      </c>
      <c r="G31">
        <v>3</v>
      </c>
      <c r="H31">
        <f t="shared" si="0"/>
        <v>18</v>
      </c>
      <c r="I31">
        <f t="shared" si="1"/>
        <v>36</v>
      </c>
      <c r="J31">
        <f t="shared" si="2"/>
        <v>9</v>
      </c>
      <c r="K31">
        <v>278</v>
      </c>
      <c r="L31" t="s">
        <v>92</v>
      </c>
      <c r="M31" t="s">
        <v>76</v>
      </c>
      <c r="N31" t="s">
        <v>75</v>
      </c>
      <c r="O31" t="s">
        <v>113</v>
      </c>
      <c r="P31">
        <v>0</v>
      </c>
      <c r="Q31">
        <v>0</v>
      </c>
      <c r="R31">
        <v>0</v>
      </c>
      <c r="S31">
        <v>0</v>
      </c>
      <c r="T31">
        <v>4</v>
      </c>
      <c r="U31">
        <v>0</v>
      </c>
      <c r="V31">
        <v>2</v>
      </c>
      <c r="W31">
        <v>0</v>
      </c>
      <c r="X31">
        <v>0</v>
      </c>
      <c r="Y31">
        <v>9</v>
      </c>
      <c r="Z31">
        <v>0</v>
      </c>
      <c r="AA31">
        <v>1</v>
      </c>
      <c r="AB31">
        <v>0</v>
      </c>
      <c r="AC31">
        <v>0</v>
      </c>
      <c r="AD31">
        <v>5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4</v>
      </c>
      <c r="AL31">
        <v>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</row>
    <row r="32" spans="1:65" x14ac:dyDescent="0.2">
      <c r="A32" t="s">
        <v>72</v>
      </c>
      <c r="B32" s="10">
        <v>51.822099999999999</v>
      </c>
      <c r="C32" s="10">
        <v>-1.2992330000000001</v>
      </c>
      <c r="D32" t="s">
        <v>136</v>
      </c>
      <c r="E32" t="s">
        <v>73</v>
      </c>
      <c r="F32">
        <v>6</v>
      </c>
      <c r="G32">
        <v>3</v>
      </c>
      <c r="H32">
        <f t="shared" si="0"/>
        <v>18</v>
      </c>
      <c r="I32">
        <f t="shared" si="1"/>
        <v>28</v>
      </c>
      <c r="J32">
        <f t="shared" si="2"/>
        <v>9</v>
      </c>
      <c r="K32" s="11">
        <v>225</v>
      </c>
      <c r="L32" t="s">
        <v>74</v>
      </c>
      <c r="M32" t="s">
        <v>75</v>
      </c>
      <c r="N32" t="s">
        <v>76</v>
      </c>
      <c r="O32" t="s">
        <v>77</v>
      </c>
      <c r="P32">
        <v>0</v>
      </c>
      <c r="Q32">
        <v>1</v>
      </c>
      <c r="R32">
        <v>0</v>
      </c>
      <c r="S32">
        <v>0</v>
      </c>
      <c r="T32">
        <v>2</v>
      </c>
      <c r="U32">
        <v>1</v>
      </c>
      <c r="V32">
        <v>5</v>
      </c>
      <c r="W32">
        <v>0</v>
      </c>
      <c r="X32">
        <v>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6</v>
      </c>
      <c r="AL32">
        <v>7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">
      <c r="A33" t="s">
        <v>78</v>
      </c>
      <c r="B33" s="10">
        <v>51.822516999999998</v>
      </c>
      <c r="C33" s="10">
        <v>-1.3022499999999999</v>
      </c>
      <c r="D33" t="s">
        <v>136</v>
      </c>
      <c r="E33" t="s">
        <v>79</v>
      </c>
      <c r="F33">
        <v>8</v>
      </c>
      <c r="G33">
        <v>3</v>
      </c>
      <c r="H33">
        <f t="shared" si="0"/>
        <v>24</v>
      </c>
      <c r="I33">
        <f t="shared" si="1"/>
        <v>49</v>
      </c>
      <c r="J33">
        <f t="shared" si="2"/>
        <v>12</v>
      </c>
      <c r="K33">
        <v>150</v>
      </c>
      <c r="L33" t="s">
        <v>80</v>
      </c>
      <c r="M33" t="s">
        <v>81</v>
      </c>
      <c r="N33" t="s">
        <v>75</v>
      </c>
      <c r="O33" t="s">
        <v>77</v>
      </c>
      <c r="P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4</v>
      </c>
      <c r="W33">
        <v>0</v>
      </c>
      <c r="X33">
        <v>0</v>
      </c>
      <c r="Y33">
        <v>14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</v>
      </c>
      <c r="AF33">
        <v>0</v>
      </c>
      <c r="AG33">
        <v>0</v>
      </c>
      <c r="AH33">
        <v>0</v>
      </c>
      <c r="AI33">
        <v>0</v>
      </c>
      <c r="AJ33">
        <v>3</v>
      </c>
      <c r="AK33">
        <v>3</v>
      </c>
      <c r="AL33">
        <v>6</v>
      </c>
      <c r="AM33">
        <v>5</v>
      </c>
      <c r="AN33">
        <v>0</v>
      </c>
      <c r="AO33">
        <v>2</v>
      </c>
      <c r="AP33">
        <v>0</v>
      </c>
      <c r="AQ33">
        <v>3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">
      <c r="A34" t="s">
        <v>82</v>
      </c>
      <c r="B34" s="10">
        <v>51.823616999999999</v>
      </c>
      <c r="C34" s="10">
        <v>-1.3056000000000001</v>
      </c>
      <c r="D34" t="s">
        <v>136</v>
      </c>
      <c r="E34" t="s">
        <v>73</v>
      </c>
      <c r="F34">
        <v>6</v>
      </c>
      <c r="G34">
        <v>3</v>
      </c>
      <c r="H34">
        <f t="shared" si="0"/>
        <v>18</v>
      </c>
      <c r="I34">
        <f t="shared" si="1"/>
        <v>20</v>
      </c>
      <c r="J34">
        <f t="shared" si="2"/>
        <v>9</v>
      </c>
      <c r="K34">
        <v>179</v>
      </c>
      <c r="L34" t="s">
        <v>83</v>
      </c>
      <c r="M34" t="s">
        <v>84</v>
      </c>
      <c r="N34" t="s">
        <v>85</v>
      </c>
      <c r="O34" t="s">
        <v>86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2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</v>
      </c>
      <c r="AL34">
        <v>1</v>
      </c>
      <c r="AM34">
        <v>0</v>
      </c>
      <c r="AN34">
        <v>0</v>
      </c>
      <c r="AO34">
        <v>2</v>
      </c>
      <c r="AP34">
        <v>0</v>
      </c>
      <c r="AQ34">
        <v>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</row>
    <row r="35" spans="1:65" x14ac:dyDescent="0.2">
      <c r="A35" t="s">
        <v>87</v>
      </c>
      <c r="B35" s="10">
        <v>51.822032999999998</v>
      </c>
      <c r="C35" s="10">
        <v>-1.30945</v>
      </c>
      <c r="D35" t="s">
        <v>136</v>
      </c>
      <c r="E35" t="s">
        <v>73</v>
      </c>
      <c r="F35">
        <v>6</v>
      </c>
      <c r="G35">
        <v>3</v>
      </c>
      <c r="H35">
        <f t="shared" si="0"/>
        <v>18</v>
      </c>
      <c r="I35">
        <f t="shared" si="1"/>
        <v>19</v>
      </c>
      <c r="J35">
        <f t="shared" si="2"/>
        <v>11</v>
      </c>
      <c r="K35">
        <v>88</v>
      </c>
      <c r="L35" t="s">
        <v>88</v>
      </c>
      <c r="M35" t="s">
        <v>81</v>
      </c>
      <c r="N35" t="s">
        <v>89</v>
      </c>
      <c r="O35" t="s">
        <v>86</v>
      </c>
      <c r="P35">
        <v>0</v>
      </c>
      <c r="Q35">
        <v>1</v>
      </c>
      <c r="R35">
        <v>0</v>
      </c>
      <c r="S35">
        <v>0</v>
      </c>
      <c r="T35">
        <v>3</v>
      </c>
      <c r="U35">
        <v>0</v>
      </c>
      <c r="V35">
        <v>1</v>
      </c>
      <c r="W35">
        <v>0</v>
      </c>
      <c r="X35">
        <v>0</v>
      </c>
      <c r="Y35">
        <v>5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">
      <c r="A36" t="s">
        <v>90</v>
      </c>
      <c r="B36" s="10">
        <v>51.820900000000002</v>
      </c>
      <c r="C36" s="10">
        <v>-1.3093669999999999</v>
      </c>
      <c r="D36" t="s">
        <v>136</v>
      </c>
      <c r="E36" t="s">
        <v>91</v>
      </c>
      <c r="F36">
        <v>2</v>
      </c>
      <c r="G36">
        <v>2</v>
      </c>
      <c r="H36">
        <f t="shared" si="0"/>
        <v>4</v>
      </c>
      <c r="I36">
        <f t="shared" si="1"/>
        <v>18</v>
      </c>
      <c r="J36">
        <f t="shared" si="2"/>
        <v>9</v>
      </c>
      <c r="K36">
        <v>255</v>
      </c>
      <c r="L36" t="s">
        <v>92</v>
      </c>
      <c r="M36" t="s">
        <v>85</v>
      </c>
      <c r="N36" t="s">
        <v>84</v>
      </c>
      <c r="O36" t="s">
        <v>86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5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4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">
      <c r="A37" t="s">
        <v>93</v>
      </c>
      <c r="B37" s="10">
        <v>51.818367000000002</v>
      </c>
      <c r="C37" s="10">
        <v>-1.3125830000000001</v>
      </c>
      <c r="D37" t="s">
        <v>136</v>
      </c>
      <c r="E37" t="s">
        <v>73</v>
      </c>
      <c r="F37">
        <v>6</v>
      </c>
      <c r="G37">
        <v>2</v>
      </c>
      <c r="H37">
        <f t="shared" si="0"/>
        <v>12</v>
      </c>
      <c r="I37">
        <f t="shared" si="1"/>
        <v>14</v>
      </c>
      <c r="J37">
        <f t="shared" si="2"/>
        <v>10</v>
      </c>
      <c r="K37">
        <v>255</v>
      </c>
      <c r="L37" t="s">
        <v>92</v>
      </c>
      <c r="M37" t="s">
        <v>75</v>
      </c>
      <c r="N37" t="s">
        <v>85</v>
      </c>
      <c r="O37" t="s">
        <v>94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2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2</v>
      </c>
      <c r="AL37">
        <v>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</row>
    <row r="38" spans="1:65" x14ac:dyDescent="0.2">
      <c r="A38" t="s">
        <v>95</v>
      </c>
      <c r="B38" s="10">
        <v>51.817667</v>
      </c>
      <c r="C38" s="10">
        <v>-1.314683</v>
      </c>
      <c r="D38" t="s">
        <v>136</v>
      </c>
      <c r="E38" t="s">
        <v>96</v>
      </c>
      <c r="F38">
        <v>4</v>
      </c>
      <c r="G38">
        <v>3</v>
      </c>
      <c r="H38">
        <f t="shared" si="0"/>
        <v>12</v>
      </c>
      <c r="I38">
        <f t="shared" si="1"/>
        <v>58</v>
      </c>
      <c r="J38">
        <f t="shared" si="2"/>
        <v>5</v>
      </c>
      <c r="K38">
        <v>2</v>
      </c>
      <c r="L38" t="s">
        <v>97</v>
      </c>
      <c r="M38" t="s">
        <v>84</v>
      </c>
      <c r="N38" t="s">
        <v>84</v>
      </c>
      <c r="O38" t="s">
        <v>94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</row>
    <row r="39" spans="1:65" x14ac:dyDescent="0.2">
      <c r="A39" t="s">
        <v>98</v>
      </c>
      <c r="B39" s="10">
        <v>51.817332999999998</v>
      </c>
      <c r="C39" s="10">
        <v>-1.3145</v>
      </c>
      <c r="D39" t="s">
        <v>136</v>
      </c>
      <c r="E39" t="s">
        <v>73</v>
      </c>
      <c r="F39">
        <v>6</v>
      </c>
      <c r="G39">
        <v>3</v>
      </c>
      <c r="H39">
        <f t="shared" si="0"/>
        <v>18</v>
      </c>
      <c r="I39">
        <f t="shared" si="1"/>
        <v>28</v>
      </c>
      <c r="J39">
        <f t="shared" si="2"/>
        <v>10</v>
      </c>
      <c r="K39">
        <v>171</v>
      </c>
      <c r="L39" t="s">
        <v>83</v>
      </c>
      <c r="M39" t="s">
        <v>81</v>
      </c>
      <c r="N39" t="s">
        <v>89</v>
      </c>
      <c r="O39" t="s">
        <v>99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2</v>
      </c>
      <c r="W39">
        <v>1</v>
      </c>
      <c r="X39">
        <v>0</v>
      </c>
      <c r="Y39">
        <v>7</v>
      </c>
      <c r="Z39">
        <v>1</v>
      </c>
      <c r="AA39">
        <v>0</v>
      </c>
      <c r="AB39">
        <v>1</v>
      </c>
      <c r="AC39">
        <v>0</v>
      </c>
      <c r="AD39">
        <v>11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">
      <c r="A40" t="s">
        <v>100</v>
      </c>
      <c r="B40" s="10">
        <v>51.816682999999998</v>
      </c>
      <c r="C40" s="10">
        <v>-1.31325</v>
      </c>
      <c r="D40" t="s">
        <v>136</v>
      </c>
      <c r="E40" t="s">
        <v>73</v>
      </c>
      <c r="F40">
        <v>6</v>
      </c>
      <c r="G40">
        <v>2</v>
      </c>
      <c r="H40">
        <f t="shared" si="0"/>
        <v>12</v>
      </c>
      <c r="I40">
        <f t="shared" si="1"/>
        <v>14</v>
      </c>
      <c r="J40">
        <f t="shared" si="2"/>
        <v>9</v>
      </c>
      <c r="K40">
        <v>268</v>
      </c>
      <c r="L40" t="s">
        <v>92</v>
      </c>
      <c r="M40" t="s">
        <v>75</v>
      </c>
      <c r="N40" t="s">
        <v>89</v>
      </c>
      <c r="O40" t="s">
        <v>94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4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">
      <c r="A41" t="s">
        <v>101</v>
      </c>
      <c r="B41" s="10">
        <v>51.815100000000001</v>
      </c>
      <c r="C41" s="10">
        <v>-1.313367</v>
      </c>
      <c r="D41" t="s">
        <v>136</v>
      </c>
      <c r="E41" t="s">
        <v>102</v>
      </c>
      <c r="F41">
        <v>1</v>
      </c>
      <c r="G41">
        <v>3</v>
      </c>
      <c r="H41">
        <f t="shared" si="0"/>
        <v>3</v>
      </c>
      <c r="I41">
        <f t="shared" si="1"/>
        <v>9</v>
      </c>
      <c r="J41">
        <f t="shared" si="2"/>
        <v>7</v>
      </c>
      <c r="K41">
        <v>333</v>
      </c>
      <c r="L41" t="s">
        <v>103</v>
      </c>
      <c r="M41" t="s">
        <v>104</v>
      </c>
      <c r="N41" t="s">
        <v>84</v>
      </c>
      <c r="O41" t="s">
        <v>94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</row>
    <row r="42" spans="1:65" x14ac:dyDescent="0.2">
      <c r="A42" t="s">
        <v>105</v>
      </c>
      <c r="B42" s="10">
        <v>51.817749999999997</v>
      </c>
      <c r="C42" s="10">
        <v>-1.310883</v>
      </c>
      <c r="D42" t="s">
        <v>136</v>
      </c>
      <c r="E42" t="s">
        <v>96</v>
      </c>
      <c r="F42">
        <v>4</v>
      </c>
      <c r="G42">
        <v>3</v>
      </c>
      <c r="H42">
        <f t="shared" si="0"/>
        <v>12</v>
      </c>
      <c r="I42">
        <f t="shared" si="1"/>
        <v>18</v>
      </c>
      <c r="J42">
        <f t="shared" si="2"/>
        <v>8</v>
      </c>
      <c r="K42">
        <v>0</v>
      </c>
      <c r="L42" t="s">
        <v>97</v>
      </c>
      <c r="M42" t="s">
        <v>85</v>
      </c>
      <c r="N42" t="s">
        <v>84</v>
      </c>
      <c r="O42" t="s">
        <v>94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1</v>
      </c>
      <c r="AB42">
        <v>0</v>
      </c>
      <c r="AC42">
        <v>0</v>
      </c>
      <c r="AD42">
        <v>8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">
      <c r="A43" t="s">
        <v>106</v>
      </c>
      <c r="B43" s="10">
        <v>51.816133000000001</v>
      </c>
      <c r="C43" s="10">
        <v>-1.3091330000000001</v>
      </c>
      <c r="D43" t="s">
        <v>136</v>
      </c>
      <c r="E43" t="s">
        <v>96</v>
      </c>
      <c r="F43">
        <v>4</v>
      </c>
      <c r="G43">
        <v>3</v>
      </c>
      <c r="H43">
        <f t="shared" si="0"/>
        <v>12</v>
      </c>
      <c r="I43">
        <f t="shared" si="1"/>
        <v>15</v>
      </c>
      <c r="J43">
        <f t="shared" si="2"/>
        <v>5</v>
      </c>
      <c r="K43">
        <v>358</v>
      </c>
      <c r="L43" t="s">
        <v>97</v>
      </c>
      <c r="M43" t="s">
        <v>85</v>
      </c>
      <c r="N43" t="s">
        <v>85</v>
      </c>
      <c r="O43" t="s">
        <v>94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">
      <c r="A44" t="s">
        <v>107</v>
      </c>
      <c r="B44" s="10">
        <v>51.815100000000001</v>
      </c>
      <c r="C44" s="10">
        <v>-1.307833</v>
      </c>
      <c r="D44" t="s">
        <v>136</v>
      </c>
      <c r="E44" t="s">
        <v>96</v>
      </c>
      <c r="F44">
        <v>4</v>
      </c>
      <c r="G44">
        <v>3</v>
      </c>
      <c r="H44">
        <f t="shared" si="0"/>
        <v>12</v>
      </c>
      <c r="I44">
        <f t="shared" si="1"/>
        <v>36</v>
      </c>
      <c r="J44">
        <f t="shared" si="2"/>
        <v>8</v>
      </c>
      <c r="K44">
        <v>4</v>
      </c>
      <c r="L44" t="s">
        <v>97</v>
      </c>
      <c r="M44" t="s">
        <v>84</v>
      </c>
      <c r="N44" t="s">
        <v>84</v>
      </c>
      <c r="O44" t="s">
        <v>108</v>
      </c>
      <c r="P44">
        <v>0</v>
      </c>
      <c r="Q44">
        <v>0</v>
      </c>
      <c r="R44">
        <v>0</v>
      </c>
      <c r="S44">
        <v>0</v>
      </c>
      <c r="T44">
        <v>4</v>
      </c>
      <c r="U44">
        <v>0</v>
      </c>
      <c r="V44">
        <v>4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17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6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">
      <c r="A45" t="s">
        <v>109</v>
      </c>
      <c r="B45" s="10">
        <v>51.816766999999999</v>
      </c>
      <c r="C45" s="10">
        <v>-1.3060499999999999</v>
      </c>
      <c r="D45" t="s">
        <v>136</v>
      </c>
      <c r="E45" t="s">
        <v>110</v>
      </c>
      <c r="F45">
        <v>2</v>
      </c>
      <c r="G45">
        <v>2</v>
      </c>
      <c r="H45">
        <f t="shared" si="0"/>
        <v>4</v>
      </c>
      <c r="I45">
        <f t="shared" si="1"/>
        <v>31</v>
      </c>
      <c r="J45">
        <f t="shared" si="2"/>
        <v>12</v>
      </c>
      <c r="K45">
        <v>268</v>
      </c>
      <c r="L45" t="s">
        <v>92</v>
      </c>
      <c r="M45" t="s">
        <v>104</v>
      </c>
      <c r="N45" t="s">
        <v>104</v>
      </c>
      <c r="O45" t="s">
        <v>99</v>
      </c>
      <c r="P45">
        <v>0</v>
      </c>
      <c r="Q45">
        <v>2</v>
      </c>
      <c r="R45">
        <v>0</v>
      </c>
      <c r="S45">
        <v>0</v>
      </c>
      <c r="T45">
        <v>1</v>
      </c>
      <c r="U45">
        <v>0</v>
      </c>
      <c r="V45">
        <v>2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8</v>
      </c>
      <c r="AL45">
        <v>11</v>
      </c>
      <c r="AM45">
        <v>1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">
      <c r="A46" t="s">
        <v>111</v>
      </c>
      <c r="B46" s="10">
        <v>51.816682999999998</v>
      </c>
      <c r="C46" s="10">
        <v>-1.305917</v>
      </c>
      <c r="D46" t="s">
        <v>136</v>
      </c>
      <c r="E46" t="s">
        <v>110</v>
      </c>
      <c r="F46">
        <v>2</v>
      </c>
      <c r="G46">
        <v>2</v>
      </c>
      <c r="H46">
        <f t="shared" si="0"/>
        <v>4</v>
      </c>
      <c r="I46">
        <f t="shared" si="1"/>
        <v>44</v>
      </c>
      <c r="J46">
        <f t="shared" si="2"/>
        <v>13</v>
      </c>
      <c r="K46">
        <v>84</v>
      </c>
      <c r="L46" t="s">
        <v>88</v>
      </c>
      <c r="M46" t="s">
        <v>104</v>
      </c>
      <c r="N46" t="s">
        <v>104</v>
      </c>
      <c r="O46" t="s">
        <v>99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3</v>
      </c>
      <c r="W46">
        <v>2</v>
      </c>
      <c r="X46">
        <v>0</v>
      </c>
      <c r="Y46">
        <v>1</v>
      </c>
      <c r="Z46">
        <v>3</v>
      </c>
      <c r="AA46">
        <v>0</v>
      </c>
      <c r="AB46">
        <v>0</v>
      </c>
      <c r="AC46">
        <v>0</v>
      </c>
      <c r="AD46">
        <v>1</v>
      </c>
      <c r="AE46">
        <v>2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18</v>
      </c>
      <c r="AL46">
        <v>9</v>
      </c>
      <c r="AM46">
        <v>0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">
      <c r="A47" t="s">
        <v>112</v>
      </c>
      <c r="B47" s="10">
        <v>51.815632999999998</v>
      </c>
      <c r="C47" s="10">
        <v>-1.2991999999999999</v>
      </c>
      <c r="D47" t="s">
        <v>136</v>
      </c>
      <c r="E47" t="s">
        <v>96</v>
      </c>
      <c r="F47">
        <v>4</v>
      </c>
      <c r="G47">
        <v>3</v>
      </c>
      <c r="H47">
        <f t="shared" si="0"/>
        <v>12</v>
      </c>
      <c r="I47">
        <f t="shared" si="1"/>
        <v>21</v>
      </c>
      <c r="J47">
        <f t="shared" si="2"/>
        <v>9</v>
      </c>
      <c r="K47">
        <v>179</v>
      </c>
      <c r="L47" t="s">
        <v>83</v>
      </c>
      <c r="M47" t="s">
        <v>84</v>
      </c>
      <c r="N47" t="s">
        <v>85</v>
      </c>
      <c r="O47" t="s">
        <v>113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3</v>
      </c>
      <c r="W47">
        <v>0</v>
      </c>
      <c r="X47">
        <v>0</v>
      </c>
      <c r="Y47">
        <v>7</v>
      </c>
      <c r="Z47">
        <v>2</v>
      </c>
      <c r="AA47">
        <v>0</v>
      </c>
      <c r="AB47">
        <v>0</v>
      </c>
      <c r="AC47">
        <v>1</v>
      </c>
      <c r="AD47">
        <v>3</v>
      </c>
      <c r="AE47">
        <v>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">
      <c r="A48" t="s">
        <v>114</v>
      </c>
      <c r="B48" s="10">
        <v>51.815617000000003</v>
      </c>
      <c r="C48" s="10">
        <v>-1.3024169999999999</v>
      </c>
      <c r="D48" t="s">
        <v>136</v>
      </c>
      <c r="E48" t="s">
        <v>73</v>
      </c>
      <c r="F48">
        <v>6</v>
      </c>
      <c r="G48">
        <v>3</v>
      </c>
      <c r="H48">
        <f t="shared" si="0"/>
        <v>18</v>
      </c>
      <c r="I48">
        <f t="shared" si="1"/>
        <v>43</v>
      </c>
      <c r="J48">
        <f t="shared" si="2"/>
        <v>10</v>
      </c>
      <c r="K48">
        <v>182</v>
      </c>
      <c r="L48" t="s">
        <v>83</v>
      </c>
      <c r="M48" t="s">
        <v>85</v>
      </c>
      <c r="N48" t="s">
        <v>85</v>
      </c>
      <c r="O48" t="s">
        <v>115</v>
      </c>
      <c r="P48">
        <v>0</v>
      </c>
      <c r="Q48">
        <v>3</v>
      </c>
      <c r="R48">
        <v>0</v>
      </c>
      <c r="S48">
        <v>0</v>
      </c>
      <c r="T48">
        <v>1</v>
      </c>
      <c r="U48">
        <v>0</v>
      </c>
      <c r="V48">
        <v>5</v>
      </c>
      <c r="W48">
        <v>0</v>
      </c>
      <c r="X48">
        <v>0</v>
      </c>
      <c r="Y48">
        <v>5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</v>
      </c>
      <c r="AL48">
        <v>5</v>
      </c>
      <c r="AM48">
        <v>0</v>
      </c>
      <c r="AN48">
        <v>0</v>
      </c>
      <c r="AO48">
        <v>0</v>
      </c>
      <c r="AP48">
        <v>0</v>
      </c>
      <c r="AQ48">
        <v>9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">
      <c r="A49" t="s">
        <v>116</v>
      </c>
      <c r="B49" s="10">
        <v>51.813732999999999</v>
      </c>
      <c r="C49" s="10">
        <v>-1.3007169999999999</v>
      </c>
      <c r="D49" t="s">
        <v>136</v>
      </c>
      <c r="E49" t="s">
        <v>96</v>
      </c>
      <c r="F49">
        <v>4</v>
      </c>
      <c r="G49">
        <v>2</v>
      </c>
      <c r="H49">
        <f t="shared" si="0"/>
        <v>8</v>
      </c>
      <c r="I49">
        <f t="shared" si="1"/>
        <v>18</v>
      </c>
      <c r="J49">
        <f t="shared" si="2"/>
        <v>9</v>
      </c>
      <c r="K49">
        <v>165</v>
      </c>
      <c r="L49" t="s">
        <v>83</v>
      </c>
      <c r="M49" t="s">
        <v>76</v>
      </c>
      <c r="N49" t="s">
        <v>84</v>
      </c>
      <c r="O49" t="s">
        <v>86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</v>
      </c>
      <c r="AA49">
        <v>0</v>
      </c>
      <c r="AB49">
        <v>0</v>
      </c>
      <c r="AC49">
        <v>2</v>
      </c>
      <c r="AD49">
        <v>1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5</v>
      </c>
      <c r="AR49">
        <v>0</v>
      </c>
      <c r="AS49">
        <v>0</v>
      </c>
      <c r="AT49">
        <v>0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</row>
    <row r="50" spans="1:65" x14ac:dyDescent="0.2">
      <c r="A50" t="s">
        <v>117</v>
      </c>
      <c r="B50" s="10">
        <v>51.810867000000002</v>
      </c>
      <c r="C50" s="10">
        <v>-1.3022</v>
      </c>
      <c r="D50" t="s">
        <v>136</v>
      </c>
      <c r="E50" t="s">
        <v>79</v>
      </c>
      <c r="F50">
        <v>8</v>
      </c>
      <c r="G50">
        <v>3</v>
      </c>
      <c r="H50">
        <f t="shared" si="0"/>
        <v>24</v>
      </c>
      <c r="I50">
        <f t="shared" si="1"/>
        <v>29</v>
      </c>
      <c r="J50">
        <f t="shared" si="2"/>
        <v>12</v>
      </c>
      <c r="K50">
        <v>314</v>
      </c>
      <c r="L50" t="s">
        <v>103</v>
      </c>
      <c r="M50" t="s">
        <v>118</v>
      </c>
      <c r="N50" t="s">
        <v>75</v>
      </c>
      <c r="O50" t="s">
        <v>86</v>
      </c>
      <c r="P50">
        <v>0</v>
      </c>
      <c r="Q50">
        <v>0</v>
      </c>
      <c r="R50">
        <v>0</v>
      </c>
      <c r="S50">
        <v>0</v>
      </c>
      <c r="T50">
        <v>3</v>
      </c>
      <c r="U50">
        <v>0</v>
      </c>
      <c r="V50">
        <v>5</v>
      </c>
      <c r="W50">
        <v>1</v>
      </c>
      <c r="X50">
        <v>0</v>
      </c>
      <c r="Y50">
        <v>5</v>
      </c>
      <c r="Z50">
        <v>0</v>
      </c>
      <c r="AA50">
        <v>1</v>
      </c>
      <c r="AB50">
        <v>0</v>
      </c>
      <c r="AC50">
        <v>2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3</v>
      </c>
      <c r="AK50">
        <v>0</v>
      </c>
      <c r="AL50">
        <v>3</v>
      </c>
      <c r="AM50">
        <v>1</v>
      </c>
      <c r="AN50">
        <v>0</v>
      </c>
      <c r="AO50">
        <v>1</v>
      </c>
      <c r="AP50">
        <v>0</v>
      </c>
      <c r="AQ50">
        <v>2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">
      <c r="A51" t="s">
        <v>119</v>
      </c>
      <c r="B51" s="10">
        <v>51.818550000000002</v>
      </c>
      <c r="C51" s="10">
        <v>-1.2959670000000001</v>
      </c>
      <c r="D51" t="s">
        <v>136</v>
      </c>
      <c r="E51" t="s">
        <v>79</v>
      </c>
      <c r="F51">
        <v>8</v>
      </c>
      <c r="G51">
        <v>3</v>
      </c>
      <c r="H51">
        <f t="shared" si="0"/>
        <v>24</v>
      </c>
      <c r="I51">
        <f t="shared" si="1"/>
        <v>11</v>
      </c>
      <c r="J51">
        <f t="shared" si="2"/>
        <v>5</v>
      </c>
      <c r="K51">
        <v>211</v>
      </c>
      <c r="L51" t="s">
        <v>74</v>
      </c>
      <c r="M51" t="s">
        <v>118</v>
      </c>
      <c r="N51" t="s">
        <v>89</v>
      </c>
      <c r="O51" t="s">
        <v>115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</v>
      </c>
      <c r="AL51">
        <v>3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">
      <c r="A52" t="s">
        <v>120</v>
      </c>
      <c r="B52" s="10">
        <v>51.816716999999997</v>
      </c>
      <c r="C52" s="10">
        <v>-1.293917</v>
      </c>
      <c r="D52" t="s">
        <v>136</v>
      </c>
      <c r="E52" t="s">
        <v>79</v>
      </c>
      <c r="F52">
        <v>8</v>
      </c>
      <c r="G52">
        <v>2</v>
      </c>
      <c r="H52">
        <f t="shared" si="0"/>
        <v>16</v>
      </c>
      <c r="I52">
        <f t="shared" si="1"/>
        <v>12</v>
      </c>
      <c r="J52">
        <f t="shared" si="2"/>
        <v>6</v>
      </c>
      <c r="K52">
        <v>174</v>
      </c>
      <c r="L52" t="s">
        <v>83</v>
      </c>
      <c r="M52" t="s">
        <v>89</v>
      </c>
      <c r="N52" t="s">
        <v>85</v>
      </c>
      <c r="O52" t="s">
        <v>121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0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</row>
    <row r="53" spans="1:65" x14ac:dyDescent="0.2">
      <c r="A53" t="s">
        <v>122</v>
      </c>
      <c r="B53" s="10">
        <v>51.815533000000002</v>
      </c>
      <c r="C53" s="10">
        <v>-1.2947500000000001</v>
      </c>
      <c r="D53" t="s">
        <v>136</v>
      </c>
      <c r="E53" t="s">
        <v>73</v>
      </c>
      <c r="F53">
        <v>6</v>
      </c>
      <c r="G53">
        <v>3</v>
      </c>
      <c r="H53">
        <f t="shared" si="0"/>
        <v>18</v>
      </c>
      <c r="I53">
        <f t="shared" si="1"/>
        <v>17</v>
      </c>
      <c r="J53">
        <f t="shared" si="2"/>
        <v>8</v>
      </c>
      <c r="K53">
        <v>350</v>
      </c>
      <c r="L53" t="s">
        <v>97</v>
      </c>
      <c r="M53" t="s">
        <v>89</v>
      </c>
      <c r="N53" t="s">
        <v>85</v>
      </c>
      <c r="O53" t="s">
        <v>121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3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</v>
      </c>
      <c r="AL53">
        <v>7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">
      <c r="A54" t="s">
        <v>123</v>
      </c>
      <c r="B54" s="10">
        <v>51.815832999999998</v>
      </c>
      <c r="C54" s="10">
        <v>-1.29295</v>
      </c>
      <c r="D54" t="s">
        <v>136</v>
      </c>
      <c r="E54" t="s">
        <v>73</v>
      </c>
      <c r="F54">
        <v>6</v>
      </c>
      <c r="G54">
        <v>3</v>
      </c>
      <c r="H54">
        <f t="shared" si="0"/>
        <v>18</v>
      </c>
      <c r="I54">
        <f t="shared" si="1"/>
        <v>26</v>
      </c>
      <c r="J54">
        <f t="shared" si="2"/>
        <v>9</v>
      </c>
      <c r="K54">
        <v>161</v>
      </c>
      <c r="L54" t="s">
        <v>124</v>
      </c>
      <c r="M54" t="s">
        <v>76</v>
      </c>
      <c r="N54" t="s">
        <v>85</v>
      </c>
      <c r="O54" t="s">
        <v>121</v>
      </c>
      <c r="P54">
        <v>0</v>
      </c>
      <c r="Q54">
        <v>0</v>
      </c>
      <c r="R54">
        <v>0</v>
      </c>
      <c r="S54">
        <v>0</v>
      </c>
      <c r="T54">
        <v>2</v>
      </c>
      <c r="U54">
        <v>0</v>
      </c>
      <c r="V54">
        <v>4</v>
      </c>
      <c r="W54">
        <v>0</v>
      </c>
      <c r="X54">
        <v>0</v>
      </c>
      <c r="Y54">
        <v>2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9</v>
      </c>
      <c r="AM54">
        <v>0</v>
      </c>
      <c r="AN54">
        <v>0</v>
      </c>
      <c r="AO54">
        <v>3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</row>
    <row r="55" spans="1:65" x14ac:dyDescent="0.2">
      <c r="A55" t="s">
        <v>125</v>
      </c>
      <c r="B55" s="10">
        <v>51.815133000000003</v>
      </c>
      <c r="C55" s="10">
        <v>-1.2927</v>
      </c>
      <c r="D55" t="s">
        <v>136</v>
      </c>
      <c r="E55" t="s">
        <v>79</v>
      </c>
      <c r="F55">
        <v>8</v>
      </c>
      <c r="G55">
        <v>3</v>
      </c>
      <c r="H55">
        <f t="shared" si="0"/>
        <v>24</v>
      </c>
      <c r="I55">
        <f t="shared" si="1"/>
        <v>13</v>
      </c>
      <c r="J55">
        <f t="shared" si="2"/>
        <v>9</v>
      </c>
      <c r="K55">
        <v>287</v>
      </c>
      <c r="L55" t="s">
        <v>92</v>
      </c>
      <c r="M55" t="s">
        <v>81</v>
      </c>
      <c r="N55" t="s">
        <v>89</v>
      </c>
      <c r="O55" t="s">
        <v>121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0</v>
      </c>
      <c r="X55">
        <v>0</v>
      </c>
      <c r="Y55">
        <v>2</v>
      </c>
      <c r="Z55">
        <v>2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">
      <c r="A56" t="s">
        <v>126</v>
      </c>
      <c r="B56" s="10">
        <v>51.815100000000001</v>
      </c>
      <c r="C56" s="10">
        <v>-1.2924329999999999</v>
      </c>
      <c r="D56" t="s">
        <v>136</v>
      </c>
      <c r="E56" t="s">
        <v>79</v>
      </c>
      <c r="F56">
        <v>8</v>
      </c>
      <c r="G56">
        <v>3</v>
      </c>
      <c r="H56">
        <f t="shared" si="0"/>
        <v>24</v>
      </c>
      <c r="I56">
        <f t="shared" si="1"/>
        <v>18</v>
      </c>
      <c r="J56">
        <f t="shared" si="2"/>
        <v>8</v>
      </c>
      <c r="K56">
        <v>117</v>
      </c>
      <c r="L56" t="s">
        <v>80</v>
      </c>
      <c r="M56" t="s">
        <v>81</v>
      </c>
      <c r="N56" t="s">
        <v>89</v>
      </c>
      <c r="O56" t="s">
        <v>113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</v>
      </c>
      <c r="W56">
        <v>0</v>
      </c>
      <c r="X56">
        <v>0</v>
      </c>
      <c r="Y56">
        <v>5</v>
      </c>
      <c r="Z56">
        <v>5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</row>
    <row r="57" spans="1:65" x14ac:dyDescent="0.2">
      <c r="A57" t="s">
        <v>127</v>
      </c>
      <c r="B57" s="10">
        <v>51.812600000000003</v>
      </c>
      <c r="C57" s="10">
        <v>-1.293833</v>
      </c>
      <c r="D57" t="s">
        <v>136</v>
      </c>
      <c r="E57" t="s">
        <v>79</v>
      </c>
      <c r="F57">
        <v>8</v>
      </c>
      <c r="G57">
        <v>3</v>
      </c>
      <c r="H57">
        <f t="shared" si="0"/>
        <v>24</v>
      </c>
      <c r="I57">
        <f t="shared" si="1"/>
        <v>33</v>
      </c>
      <c r="J57">
        <f t="shared" si="2"/>
        <v>13</v>
      </c>
      <c r="K57">
        <v>102</v>
      </c>
      <c r="L57" t="s">
        <v>88</v>
      </c>
      <c r="M57" t="s">
        <v>89</v>
      </c>
      <c r="N57" t="s">
        <v>75</v>
      </c>
      <c r="O57" t="s">
        <v>113</v>
      </c>
      <c r="P57">
        <v>0</v>
      </c>
      <c r="Q57">
        <v>5</v>
      </c>
      <c r="R57">
        <v>0</v>
      </c>
      <c r="S57">
        <v>0</v>
      </c>
      <c r="T57">
        <v>0</v>
      </c>
      <c r="U57">
        <v>0</v>
      </c>
      <c r="V57">
        <v>4</v>
      </c>
      <c r="W57">
        <v>0</v>
      </c>
      <c r="X57">
        <v>0</v>
      </c>
      <c r="Y57">
        <v>3</v>
      </c>
      <c r="Z57">
        <v>0</v>
      </c>
      <c r="AA57">
        <v>1</v>
      </c>
      <c r="AB57">
        <v>0</v>
      </c>
      <c r="AC57">
        <v>2</v>
      </c>
      <c r="AD57">
        <v>0</v>
      </c>
      <c r="AE57">
        <v>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3</v>
      </c>
      <c r="AM57">
        <v>0</v>
      </c>
      <c r="AN57">
        <v>0</v>
      </c>
      <c r="AO57">
        <v>2</v>
      </c>
      <c r="AP57">
        <v>0</v>
      </c>
      <c r="AQ57">
        <v>4</v>
      </c>
      <c r="AR57">
        <v>0</v>
      </c>
      <c r="AS57">
        <v>0</v>
      </c>
      <c r="AT57">
        <v>0</v>
      </c>
      <c r="AU57">
        <v>0</v>
      </c>
      <c r="AV57">
        <v>2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</row>
    <row r="58" spans="1:65" x14ac:dyDescent="0.2">
      <c r="A58" t="s">
        <v>128</v>
      </c>
      <c r="B58" s="10">
        <v>51.809583000000003</v>
      </c>
      <c r="C58" s="10">
        <v>-1.2956669999999999</v>
      </c>
      <c r="D58" t="s">
        <v>136</v>
      </c>
      <c r="E58" t="s">
        <v>79</v>
      </c>
      <c r="F58">
        <v>8</v>
      </c>
      <c r="G58">
        <v>3</v>
      </c>
      <c r="H58">
        <f t="shared" si="0"/>
        <v>24</v>
      </c>
      <c r="I58">
        <f t="shared" si="1"/>
        <v>25</v>
      </c>
      <c r="J58">
        <f t="shared" si="2"/>
        <v>12</v>
      </c>
      <c r="K58">
        <v>98</v>
      </c>
      <c r="L58" t="s">
        <v>88</v>
      </c>
      <c r="M58" t="s">
        <v>75</v>
      </c>
      <c r="N58" t="s">
        <v>75</v>
      </c>
      <c r="O58" t="s">
        <v>113</v>
      </c>
      <c r="P58">
        <v>0</v>
      </c>
      <c r="Q58">
        <v>3</v>
      </c>
      <c r="R58">
        <v>0</v>
      </c>
      <c r="S58">
        <v>0</v>
      </c>
      <c r="T58">
        <v>1</v>
      </c>
      <c r="U58">
        <v>0</v>
      </c>
      <c r="V58">
        <v>5</v>
      </c>
      <c r="W58">
        <v>0</v>
      </c>
      <c r="X58">
        <v>1</v>
      </c>
      <c r="Y58">
        <v>3</v>
      </c>
      <c r="Z58">
        <v>0</v>
      </c>
      <c r="AA58">
        <v>1</v>
      </c>
      <c r="AB58">
        <v>0</v>
      </c>
      <c r="AC58">
        <v>4</v>
      </c>
      <c r="AD58">
        <v>2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">
      <c r="A59" t="s">
        <v>129</v>
      </c>
      <c r="B59" s="10">
        <v>51.807749999999999</v>
      </c>
      <c r="C59" s="10">
        <v>-1.29295</v>
      </c>
      <c r="D59" t="s">
        <v>136</v>
      </c>
      <c r="E59" t="s">
        <v>79</v>
      </c>
      <c r="F59">
        <v>8</v>
      </c>
      <c r="G59">
        <v>2</v>
      </c>
      <c r="H59">
        <f t="shared" si="0"/>
        <v>16</v>
      </c>
      <c r="I59">
        <f t="shared" si="1"/>
        <v>16</v>
      </c>
      <c r="J59">
        <f t="shared" si="2"/>
        <v>11</v>
      </c>
      <c r="K59">
        <v>285</v>
      </c>
      <c r="L59" t="s">
        <v>92</v>
      </c>
      <c r="M59" t="s">
        <v>75</v>
      </c>
      <c r="N59" t="s">
        <v>89</v>
      </c>
      <c r="O59" t="s">
        <v>113</v>
      </c>
      <c r="P59">
        <v>0</v>
      </c>
      <c r="Q59">
        <v>1</v>
      </c>
      <c r="R59">
        <v>0</v>
      </c>
      <c r="S59">
        <v>0</v>
      </c>
      <c r="T59">
        <v>2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">
      <c r="A60" t="s">
        <v>130</v>
      </c>
      <c r="B60" s="10">
        <v>51.808599999999998</v>
      </c>
      <c r="C60" s="10">
        <v>-1.288683</v>
      </c>
      <c r="D60" t="s">
        <v>136</v>
      </c>
      <c r="E60" t="s">
        <v>73</v>
      </c>
      <c r="F60">
        <v>6</v>
      </c>
      <c r="G60">
        <v>3</v>
      </c>
      <c r="H60">
        <f t="shared" si="0"/>
        <v>18</v>
      </c>
      <c r="I60">
        <f t="shared" si="1"/>
        <v>16</v>
      </c>
      <c r="J60">
        <f t="shared" si="2"/>
        <v>10</v>
      </c>
      <c r="K60">
        <v>274</v>
      </c>
      <c r="L60" t="s">
        <v>92</v>
      </c>
      <c r="M60" t="s">
        <v>76</v>
      </c>
      <c r="N60" t="s">
        <v>89</v>
      </c>
      <c r="O60" t="s">
        <v>113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2</v>
      </c>
      <c r="Z60">
        <v>0</v>
      </c>
      <c r="AA60">
        <v>1</v>
      </c>
      <c r="AB60">
        <v>0</v>
      </c>
      <c r="AC60">
        <v>1</v>
      </c>
      <c r="AD60">
        <v>4</v>
      </c>
      <c r="AE60">
        <v>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</row>
    <row r="61" spans="1:65" x14ac:dyDescent="0.2">
      <c r="A61" t="s">
        <v>131</v>
      </c>
      <c r="B61" s="10">
        <v>51.811216999999999</v>
      </c>
      <c r="C61" s="10">
        <v>-1.2882830000000001</v>
      </c>
      <c r="D61" t="s">
        <v>136</v>
      </c>
      <c r="E61" t="s">
        <v>73</v>
      </c>
      <c r="F61">
        <v>6</v>
      </c>
      <c r="G61">
        <v>3</v>
      </c>
      <c r="H61">
        <f t="shared" si="0"/>
        <v>18</v>
      </c>
      <c r="I61">
        <f t="shared" si="1"/>
        <v>26</v>
      </c>
      <c r="J61">
        <f t="shared" si="2"/>
        <v>8</v>
      </c>
      <c r="K61">
        <v>278</v>
      </c>
      <c r="L61" t="s">
        <v>92</v>
      </c>
      <c r="M61" t="s">
        <v>76</v>
      </c>
      <c r="N61" t="s">
        <v>75</v>
      </c>
      <c r="O61" t="s">
        <v>113</v>
      </c>
      <c r="P61">
        <v>0</v>
      </c>
      <c r="Q61">
        <v>0</v>
      </c>
      <c r="R61">
        <v>0</v>
      </c>
      <c r="S61">
        <v>0</v>
      </c>
      <c r="T61">
        <v>2</v>
      </c>
      <c r="U61">
        <v>0</v>
      </c>
      <c r="V61">
        <v>9</v>
      </c>
      <c r="W61">
        <v>0</v>
      </c>
      <c r="X61">
        <v>0</v>
      </c>
      <c r="Y61">
        <v>6</v>
      </c>
      <c r="Z61">
        <v>2</v>
      </c>
      <c r="AA61">
        <v>0</v>
      </c>
      <c r="AB61">
        <v>0</v>
      </c>
      <c r="AC61">
        <v>0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</v>
      </c>
      <c r="AL61">
        <v>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</row>
    <row r="62" spans="1:65" x14ac:dyDescent="0.2">
      <c r="A62" t="s">
        <v>72</v>
      </c>
      <c r="B62" s="10">
        <v>51.822099999999999</v>
      </c>
      <c r="C62" s="10">
        <v>-1.2992330000000001</v>
      </c>
      <c r="D62" t="s">
        <v>137</v>
      </c>
      <c r="E62" t="s">
        <v>73</v>
      </c>
      <c r="F62">
        <v>6</v>
      </c>
      <c r="G62">
        <v>3</v>
      </c>
      <c r="H62">
        <f t="shared" si="0"/>
        <v>18</v>
      </c>
      <c r="I62">
        <f t="shared" si="1"/>
        <v>22</v>
      </c>
      <c r="J62">
        <f t="shared" si="2"/>
        <v>12</v>
      </c>
      <c r="K62" s="11">
        <v>225</v>
      </c>
      <c r="L62" t="s">
        <v>74</v>
      </c>
      <c r="M62" t="s">
        <v>75</v>
      </c>
      <c r="N62" t="s">
        <v>76</v>
      </c>
      <c r="O62" t="s">
        <v>77</v>
      </c>
      <c r="P62">
        <v>0</v>
      </c>
      <c r="Q62">
        <v>0</v>
      </c>
      <c r="R62">
        <v>0</v>
      </c>
      <c r="S62">
        <v>0</v>
      </c>
      <c r="T62">
        <v>3</v>
      </c>
      <c r="U62">
        <v>0</v>
      </c>
      <c r="V62">
        <v>3</v>
      </c>
      <c r="W62">
        <v>0</v>
      </c>
      <c r="X62">
        <v>0</v>
      </c>
      <c r="Y62">
        <v>2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1</v>
      </c>
      <c r="AK62">
        <v>2</v>
      </c>
      <c r="AL62">
        <v>1</v>
      </c>
      <c r="AM62">
        <v>2</v>
      </c>
      <c r="AN62">
        <v>0</v>
      </c>
      <c r="AO62">
        <v>0</v>
      </c>
      <c r="AP62">
        <v>0</v>
      </c>
      <c r="AQ62">
        <v>4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">
      <c r="A63" t="s">
        <v>78</v>
      </c>
      <c r="B63" s="10">
        <v>51.822516999999998</v>
      </c>
      <c r="C63" s="10">
        <v>-1.3022499999999999</v>
      </c>
      <c r="D63" t="s">
        <v>137</v>
      </c>
      <c r="E63" t="s">
        <v>79</v>
      </c>
      <c r="F63">
        <v>8</v>
      </c>
      <c r="G63">
        <v>3</v>
      </c>
      <c r="H63">
        <f t="shared" si="0"/>
        <v>24</v>
      </c>
      <c r="I63">
        <f t="shared" si="1"/>
        <v>56</v>
      </c>
      <c r="J63">
        <f t="shared" si="2"/>
        <v>13</v>
      </c>
      <c r="K63">
        <v>150</v>
      </c>
      <c r="L63" t="s">
        <v>80</v>
      </c>
      <c r="M63" t="s">
        <v>81</v>
      </c>
      <c r="N63" t="s">
        <v>75</v>
      </c>
      <c r="O63" t="s">
        <v>77</v>
      </c>
      <c r="P63">
        <v>0</v>
      </c>
      <c r="Q63">
        <v>1</v>
      </c>
      <c r="R63">
        <v>0</v>
      </c>
      <c r="S63">
        <v>0</v>
      </c>
      <c r="T63">
        <v>2</v>
      </c>
      <c r="U63">
        <v>0</v>
      </c>
      <c r="V63">
        <v>0</v>
      </c>
      <c r="W63">
        <v>0</v>
      </c>
      <c r="X63">
        <v>0</v>
      </c>
      <c r="Y63">
        <v>12</v>
      </c>
      <c r="Z63">
        <v>2</v>
      </c>
      <c r="AA63">
        <v>0</v>
      </c>
      <c r="AB63">
        <v>0</v>
      </c>
      <c r="AC63">
        <v>0</v>
      </c>
      <c r="AD63">
        <v>2</v>
      </c>
      <c r="AE63">
        <v>2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10</v>
      </c>
      <c r="AL63">
        <v>9</v>
      </c>
      <c r="AM63">
        <v>1</v>
      </c>
      <c r="AN63">
        <v>0</v>
      </c>
      <c r="AO63">
        <v>5</v>
      </c>
      <c r="AP63">
        <v>0</v>
      </c>
      <c r="AQ63">
        <v>8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 x14ac:dyDescent="0.2">
      <c r="A64" t="s">
        <v>82</v>
      </c>
      <c r="B64" s="10">
        <v>51.823616999999999</v>
      </c>
      <c r="C64" s="10">
        <v>-1.3056000000000001</v>
      </c>
      <c r="D64" t="s">
        <v>137</v>
      </c>
      <c r="E64" t="s">
        <v>73</v>
      </c>
      <c r="F64">
        <v>6</v>
      </c>
      <c r="G64">
        <v>3</v>
      </c>
      <c r="H64">
        <f t="shared" si="0"/>
        <v>18</v>
      </c>
      <c r="I64">
        <f t="shared" si="1"/>
        <v>13</v>
      </c>
      <c r="J64">
        <f t="shared" si="2"/>
        <v>8</v>
      </c>
      <c r="K64">
        <v>179</v>
      </c>
      <c r="L64" t="s">
        <v>83</v>
      </c>
      <c r="M64" t="s">
        <v>84</v>
      </c>
      <c r="N64" t="s">
        <v>85</v>
      </c>
      <c r="O64" t="s">
        <v>86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3</v>
      </c>
      <c r="AL64">
        <v>1</v>
      </c>
      <c r="AM64">
        <v>1</v>
      </c>
      <c r="AN64">
        <v>0</v>
      </c>
      <c r="AO64">
        <v>1</v>
      </c>
      <c r="AP64">
        <v>0</v>
      </c>
      <c r="AQ64">
        <v>3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 x14ac:dyDescent="0.2">
      <c r="A65" t="s">
        <v>87</v>
      </c>
      <c r="B65" s="10">
        <v>51.822032999999998</v>
      </c>
      <c r="C65" s="10">
        <v>-1.30945</v>
      </c>
      <c r="D65" t="s">
        <v>137</v>
      </c>
      <c r="E65" t="s">
        <v>73</v>
      </c>
      <c r="F65">
        <v>6</v>
      </c>
      <c r="G65">
        <v>3</v>
      </c>
      <c r="H65">
        <f t="shared" si="0"/>
        <v>18</v>
      </c>
      <c r="I65">
        <f t="shared" si="1"/>
        <v>18</v>
      </c>
      <c r="J65">
        <f t="shared" si="2"/>
        <v>7</v>
      </c>
      <c r="K65">
        <v>88</v>
      </c>
      <c r="L65" t="s">
        <v>88</v>
      </c>
      <c r="M65" t="s">
        <v>81</v>
      </c>
      <c r="N65" t="s">
        <v>89</v>
      </c>
      <c r="O65" t="s">
        <v>86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4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 x14ac:dyDescent="0.2">
      <c r="A66" t="s">
        <v>90</v>
      </c>
      <c r="B66" s="10">
        <v>51.820900000000002</v>
      </c>
      <c r="C66" s="10">
        <v>-1.3093669999999999</v>
      </c>
      <c r="D66" t="s">
        <v>137</v>
      </c>
      <c r="E66" t="s">
        <v>91</v>
      </c>
      <c r="F66">
        <v>2</v>
      </c>
      <c r="G66">
        <v>2</v>
      </c>
      <c r="H66">
        <f t="shared" ref="H66:H91" si="3">F66*G66</f>
        <v>4</v>
      </c>
      <c r="I66">
        <f t="shared" si="1"/>
        <v>14</v>
      </c>
      <c r="J66">
        <f t="shared" si="2"/>
        <v>6</v>
      </c>
      <c r="K66">
        <v>255</v>
      </c>
      <c r="L66" t="s">
        <v>92</v>
      </c>
      <c r="M66" t="s">
        <v>85</v>
      </c>
      <c r="N66" t="s">
        <v>84</v>
      </c>
      <c r="O66" t="s">
        <v>86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2</v>
      </c>
      <c r="W66">
        <v>0</v>
      </c>
      <c r="X66">
        <v>0</v>
      </c>
      <c r="Y66">
        <v>2</v>
      </c>
      <c r="Z66">
        <v>0</v>
      </c>
      <c r="AA66">
        <v>0</v>
      </c>
      <c r="AB66">
        <v>0</v>
      </c>
      <c r="AC66">
        <v>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2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 x14ac:dyDescent="0.2">
      <c r="A67" t="s">
        <v>93</v>
      </c>
      <c r="B67" s="10">
        <v>51.818367000000002</v>
      </c>
      <c r="C67" s="10">
        <v>-1.3125830000000001</v>
      </c>
      <c r="D67" t="s">
        <v>137</v>
      </c>
      <c r="E67" t="s">
        <v>73</v>
      </c>
      <c r="F67">
        <v>6</v>
      </c>
      <c r="G67">
        <v>2</v>
      </c>
      <c r="H67">
        <f t="shared" si="3"/>
        <v>12</v>
      </c>
      <c r="I67">
        <f t="shared" ref="I67:I91" si="4">SUM(P67:BV67)</f>
        <v>19</v>
      </c>
      <c r="J67">
        <f t="shared" ref="J67:J91" si="5">COUNTIF(P67:BV67,"&gt;0")</f>
        <v>8</v>
      </c>
      <c r="K67">
        <v>255</v>
      </c>
      <c r="L67" t="s">
        <v>92</v>
      </c>
      <c r="M67" t="s">
        <v>75</v>
      </c>
      <c r="N67" t="s">
        <v>85</v>
      </c>
      <c r="O67" t="s">
        <v>94</v>
      </c>
      <c r="P67">
        <v>0</v>
      </c>
      <c r="Q67">
        <v>2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3</v>
      </c>
      <c r="AA67">
        <v>0</v>
      </c>
      <c r="AB67">
        <v>0</v>
      </c>
      <c r="AC67">
        <v>0</v>
      </c>
      <c r="AD67">
        <v>6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4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 x14ac:dyDescent="0.2">
      <c r="A68" t="s">
        <v>95</v>
      </c>
      <c r="B68" s="10">
        <v>51.817667</v>
      </c>
      <c r="C68" s="10">
        <v>-1.314683</v>
      </c>
      <c r="D68" t="s">
        <v>137</v>
      </c>
      <c r="E68" t="s">
        <v>96</v>
      </c>
      <c r="F68">
        <v>4</v>
      </c>
      <c r="G68">
        <v>3</v>
      </c>
      <c r="H68">
        <f t="shared" si="3"/>
        <v>12</v>
      </c>
      <c r="I68">
        <f t="shared" si="4"/>
        <v>19</v>
      </c>
      <c r="J68">
        <f t="shared" si="5"/>
        <v>6</v>
      </c>
      <c r="K68">
        <v>2</v>
      </c>
      <c r="L68" t="s">
        <v>97</v>
      </c>
      <c r="M68" t="s">
        <v>84</v>
      </c>
      <c r="N68" t="s">
        <v>84</v>
      </c>
      <c r="O68" t="s">
        <v>94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2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 x14ac:dyDescent="0.2">
      <c r="A69" t="s">
        <v>98</v>
      </c>
      <c r="B69" s="10">
        <v>51.817332999999998</v>
      </c>
      <c r="C69" s="10">
        <v>-1.3145</v>
      </c>
      <c r="D69" t="s">
        <v>137</v>
      </c>
      <c r="E69" t="s">
        <v>73</v>
      </c>
      <c r="F69">
        <v>6</v>
      </c>
      <c r="G69">
        <v>3</v>
      </c>
      <c r="H69">
        <f t="shared" si="3"/>
        <v>18</v>
      </c>
      <c r="I69">
        <f t="shared" si="4"/>
        <v>18</v>
      </c>
      <c r="J69">
        <f t="shared" si="5"/>
        <v>9</v>
      </c>
      <c r="K69">
        <v>171</v>
      </c>
      <c r="L69" t="s">
        <v>83</v>
      </c>
      <c r="M69" t="s">
        <v>81</v>
      </c>
      <c r="N69" t="s">
        <v>89</v>
      </c>
      <c r="O69" t="s">
        <v>99</v>
      </c>
      <c r="P69">
        <v>0</v>
      </c>
      <c r="Q69">
        <v>0</v>
      </c>
      <c r="R69">
        <v>0</v>
      </c>
      <c r="S69">
        <v>0</v>
      </c>
      <c r="T69">
        <v>3</v>
      </c>
      <c r="U69">
        <v>0</v>
      </c>
      <c r="V69">
        <v>1</v>
      </c>
      <c r="W69">
        <v>0</v>
      </c>
      <c r="X69">
        <v>0</v>
      </c>
      <c r="Y69">
        <v>0</v>
      </c>
      <c r="Z69">
        <v>3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</v>
      </c>
      <c r="AL69">
        <v>4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 x14ac:dyDescent="0.2">
      <c r="A70" t="s">
        <v>100</v>
      </c>
      <c r="B70" s="10">
        <v>51.816682999999998</v>
      </c>
      <c r="C70" s="10">
        <v>-1.31325</v>
      </c>
      <c r="D70" t="s">
        <v>137</v>
      </c>
      <c r="E70" t="s">
        <v>73</v>
      </c>
      <c r="F70">
        <v>6</v>
      </c>
      <c r="G70">
        <v>2</v>
      </c>
      <c r="H70">
        <f t="shared" si="3"/>
        <v>12</v>
      </c>
      <c r="I70">
        <f t="shared" si="4"/>
        <v>6</v>
      </c>
      <c r="J70">
        <f t="shared" si="5"/>
        <v>5</v>
      </c>
      <c r="K70">
        <v>268</v>
      </c>
      <c r="L70" t="s">
        <v>92</v>
      </c>
      <c r="M70" t="s">
        <v>75</v>
      </c>
      <c r="N70" t="s">
        <v>89</v>
      </c>
      <c r="O70" t="s">
        <v>94</v>
      </c>
      <c r="P70">
        <v>0</v>
      </c>
      <c r="Q70">
        <v>2</v>
      </c>
      <c r="R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 x14ac:dyDescent="0.2">
      <c r="A71" s="12" t="s">
        <v>101</v>
      </c>
      <c r="B71" s="10">
        <v>51.815100000000001</v>
      </c>
      <c r="C71" s="10">
        <v>-1.313367</v>
      </c>
      <c r="D71" t="s">
        <v>137</v>
      </c>
      <c r="E71" t="s">
        <v>102</v>
      </c>
      <c r="F71">
        <v>1</v>
      </c>
      <c r="G71">
        <v>3</v>
      </c>
      <c r="H71">
        <f t="shared" si="3"/>
        <v>3</v>
      </c>
      <c r="I71">
        <f t="shared" si="4"/>
        <v>0</v>
      </c>
      <c r="J71">
        <f t="shared" si="5"/>
        <v>0</v>
      </c>
      <c r="K71">
        <v>333</v>
      </c>
      <c r="L71" t="s">
        <v>103</v>
      </c>
      <c r="M71" t="s">
        <v>104</v>
      </c>
      <c r="N71" t="s">
        <v>84</v>
      </c>
      <c r="O71" t="s">
        <v>94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</row>
    <row r="72" spans="1:65" x14ac:dyDescent="0.2">
      <c r="A72" t="s">
        <v>105</v>
      </c>
      <c r="B72" s="10">
        <v>51.817749999999997</v>
      </c>
      <c r="C72" s="10">
        <v>-1.310883</v>
      </c>
      <c r="D72" t="s">
        <v>137</v>
      </c>
      <c r="E72" t="s">
        <v>96</v>
      </c>
      <c r="F72">
        <v>4</v>
      </c>
      <c r="G72">
        <v>3</v>
      </c>
      <c r="H72">
        <f t="shared" si="3"/>
        <v>12</v>
      </c>
      <c r="I72">
        <f t="shared" si="4"/>
        <v>12</v>
      </c>
      <c r="J72">
        <f t="shared" si="5"/>
        <v>3</v>
      </c>
      <c r="K72">
        <v>0</v>
      </c>
      <c r="L72" t="s">
        <v>97</v>
      </c>
      <c r="M72" t="s">
        <v>85</v>
      </c>
      <c r="N72" t="s">
        <v>84</v>
      </c>
      <c r="O72" t="s">
        <v>94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</v>
      </c>
      <c r="AM72">
        <v>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 x14ac:dyDescent="0.2">
      <c r="A73" t="s">
        <v>106</v>
      </c>
      <c r="B73" s="10">
        <v>51.816133000000001</v>
      </c>
      <c r="C73" s="10">
        <v>-1.3091330000000001</v>
      </c>
      <c r="D73" t="s">
        <v>137</v>
      </c>
      <c r="E73" t="s">
        <v>96</v>
      </c>
      <c r="F73">
        <v>4</v>
      </c>
      <c r="G73">
        <v>3</v>
      </c>
      <c r="H73">
        <f t="shared" si="3"/>
        <v>12</v>
      </c>
      <c r="I73">
        <f t="shared" si="4"/>
        <v>6</v>
      </c>
      <c r="J73">
        <f t="shared" si="5"/>
        <v>2</v>
      </c>
      <c r="K73">
        <v>358</v>
      </c>
      <c r="L73" t="s">
        <v>97</v>
      </c>
      <c r="M73" t="s">
        <v>85</v>
      </c>
      <c r="N73" t="s">
        <v>85</v>
      </c>
      <c r="O73" t="s">
        <v>94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65" x14ac:dyDescent="0.2">
      <c r="A74" t="s">
        <v>107</v>
      </c>
      <c r="B74" s="10">
        <v>51.815100000000001</v>
      </c>
      <c r="C74" s="10">
        <v>-1.307833</v>
      </c>
      <c r="D74" t="s">
        <v>137</v>
      </c>
      <c r="E74" t="s">
        <v>96</v>
      </c>
      <c r="F74">
        <v>4</v>
      </c>
      <c r="G74">
        <v>3</v>
      </c>
      <c r="H74">
        <f t="shared" si="3"/>
        <v>12</v>
      </c>
      <c r="I74">
        <f t="shared" si="4"/>
        <v>40</v>
      </c>
      <c r="J74">
        <f t="shared" si="5"/>
        <v>11</v>
      </c>
      <c r="K74">
        <v>4</v>
      </c>
      <c r="L74" t="s">
        <v>97</v>
      </c>
      <c r="M74" t="s">
        <v>84</v>
      </c>
      <c r="N74" t="s">
        <v>84</v>
      </c>
      <c r="O74" t="s">
        <v>108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</v>
      </c>
      <c r="W74">
        <v>1</v>
      </c>
      <c r="X74">
        <v>0</v>
      </c>
      <c r="Y74">
        <v>3</v>
      </c>
      <c r="Z74">
        <v>3</v>
      </c>
      <c r="AA74">
        <v>0</v>
      </c>
      <c r="AB74">
        <v>0</v>
      </c>
      <c r="AC74">
        <v>1</v>
      </c>
      <c r="AD74">
        <v>22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4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0</v>
      </c>
    </row>
    <row r="75" spans="1:65" x14ac:dyDescent="0.2">
      <c r="A75" t="s">
        <v>109</v>
      </c>
      <c r="B75" s="10">
        <v>51.816766999999999</v>
      </c>
      <c r="C75" s="10">
        <v>-1.3060499999999999</v>
      </c>
      <c r="D75" t="s">
        <v>137</v>
      </c>
      <c r="E75" t="s">
        <v>110</v>
      </c>
      <c r="F75">
        <v>2</v>
      </c>
      <c r="G75">
        <v>2</v>
      </c>
      <c r="H75">
        <f t="shared" si="3"/>
        <v>4</v>
      </c>
      <c r="I75">
        <f t="shared" si="4"/>
        <v>38</v>
      </c>
      <c r="J75">
        <f t="shared" si="5"/>
        <v>6</v>
      </c>
      <c r="K75">
        <v>268</v>
      </c>
      <c r="L75" t="s">
        <v>92</v>
      </c>
      <c r="M75" t="s">
        <v>104</v>
      </c>
      <c r="N75" t="s">
        <v>104</v>
      </c>
      <c r="O75" t="s">
        <v>99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4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26</v>
      </c>
      <c r="AL75">
        <v>4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 x14ac:dyDescent="0.2">
      <c r="A76" t="s">
        <v>111</v>
      </c>
      <c r="B76" s="10">
        <v>51.816682999999998</v>
      </c>
      <c r="C76" s="10">
        <v>-1.305917</v>
      </c>
      <c r="D76" t="s">
        <v>137</v>
      </c>
      <c r="E76" t="s">
        <v>110</v>
      </c>
      <c r="F76">
        <v>2</v>
      </c>
      <c r="G76">
        <v>2</v>
      </c>
      <c r="H76">
        <f t="shared" si="3"/>
        <v>4</v>
      </c>
      <c r="I76">
        <f t="shared" si="4"/>
        <v>25</v>
      </c>
      <c r="J76">
        <f t="shared" si="5"/>
        <v>9</v>
      </c>
      <c r="K76">
        <v>84</v>
      </c>
      <c r="L76" t="s">
        <v>88</v>
      </c>
      <c r="M76" t="s">
        <v>104</v>
      </c>
      <c r="N76" t="s">
        <v>104</v>
      </c>
      <c r="O76" t="s">
        <v>99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1</v>
      </c>
      <c r="AE76">
        <v>2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14</v>
      </c>
      <c r="AL76">
        <v>2</v>
      </c>
      <c r="AM76">
        <v>0</v>
      </c>
      <c r="AN76">
        <v>0</v>
      </c>
      <c r="AO76">
        <v>0</v>
      </c>
      <c r="AP76">
        <v>0</v>
      </c>
      <c r="AQ76">
        <v>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</row>
    <row r="77" spans="1:65" x14ac:dyDescent="0.2">
      <c r="A77" t="s">
        <v>112</v>
      </c>
      <c r="B77" s="10">
        <v>51.815632999999998</v>
      </c>
      <c r="C77" s="10">
        <v>-1.2991999999999999</v>
      </c>
      <c r="D77" t="s">
        <v>137</v>
      </c>
      <c r="E77" t="s">
        <v>96</v>
      </c>
      <c r="F77">
        <v>4</v>
      </c>
      <c r="G77">
        <v>3</v>
      </c>
      <c r="H77">
        <f t="shared" si="3"/>
        <v>12</v>
      </c>
      <c r="I77">
        <f t="shared" si="4"/>
        <v>2</v>
      </c>
      <c r="J77">
        <f t="shared" si="5"/>
        <v>2</v>
      </c>
      <c r="K77">
        <v>179</v>
      </c>
      <c r="L77" t="s">
        <v>83</v>
      </c>
      <c r="M77" t="s">
        <v>84</v>
      </c>
      <c r="N77" t="s">
        <v>85</v>
      </c>
      <c r="O77" t="s">
        <v>113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 x14ac:dyDescent="0.2">
      <c r="A78" t="s">
        <v>114</v>
      </c>
      <c r="B78" s="10">
        <v>51.815617000000003</v>
      </c>
      <c r="C78" s="10">
        <v>-1.3024169999999999</v>
      </c>
      <c r="D78" t="s">
        <v>137</v>
      </c>
      <c r="E78" t="s">
        <v>73</v>
      </c>
      <c r="F78">
        <v>6</v>
      </c>
      <c r="G78">
        <v>3</v>
      </c>
      <c r="H78">
        <f t="shared" si="3"/>
        <v>18</v>
      </c>
      <c r="I78">
        <f t="shared" si="4"/>
        <v>12</v>
      </c>
      <c r="J78">
        <f t="shared" si="5"/>
        <v>7</v>
      </c>
      <c r="K78">
        <v>182</v>
      </c>
      <c r="L78" t="s">
        <v>83</v>
      </c>
      <c r="M78" t="s">
        <v>85</v>
      </c>
      <c r="N78" t="s">
        <v>85</v>
      </c>
      <c r="O78" t="s">
        <v>115</v>
      </c>
      <c r="P78">
        <v>0</v>
      </c>
      <c r="Q78">
        <v>2</v>
      </c>
      <c r="R78">
        <v>0</v>
      </c>
      <c r="S78">
        <v>0</v>
      </c>
      <c r="T78">
        <v>0</v>
      </c>
      <c r="U78">
        <v>0</v>
      </c>
      <c r="V78">
        <v>3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 x14ac:dyDescent="0.2">
      <c r="A79" t="s">
        <v>116</v>
      </c>
      <c r="B79" s="10">
        <v>51.813732999999999</v>
      </c>
      <c r="C79" s="10">
        <v>-1.3007169999999999</v>
      </c>
      <c r="D79" t="s">
        <v>137</v>
      </c>
      <c r="E79" t="s">
        <v>96</v>
      </c>
      <c r="F79">
        <v>4</v>
      </c>
      <c r="G79">
        <v>2</v>
      </c>
      <c r="H79">
        <f t="shared" si="3"/>
        <v>8</v>
      </c>
      <c r="I79">
        <f t="shared" si="4"/>
        <v>5</v>
      </c>
      <c r="J79">
        <f t="shared" si="5"/>
        <v>5</v>
      </c>
      <c r="K79">
        <v>165</v>
      </c>
      <c r="L79" t="s">
        <v>83</v>
      </c>
      <c r="M79" t="s">
        <v>76</v>
      </c>
      <c r="N79" t="s">
        <v>84</v>
      </c>
      <c r="O79" t="s">
        <v>86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</row>
    <row r="80" spans="1:65" x14ac:dyDescent="0.2">
      <c r="A80" t="s">
        <v>117</v>
      </c>
      <c r="B80" s="10">
        <v>51.810867000000002</v>
      </c>
      <c r="C80" s="10">
        <v>-1.3022</v>
      </c>
      <c r="D80" t="s">
        <v>137</v>
      </c>
      <c r="E80" t="s">
        <v>79</v>
      </c>
      <c r="F80">
        <v>8</v>
      </c>
      <c r="G80">
        <v>3</v>
      </c>
      <c r="H80">
        <f t="shared" si="3"/>
        <v>24</v>
      </c>
      <c r="I80">
        <f t="shared" si="4"/>
        <v>28</v>
      </c>
      <c r="J80">
        <f t="shared" si="5"/>
        <v>10</v>
      </c>
      <c r="K80">
        <v>314</v>
      </c>
      <c r="L80" t="s">
        <v>103</v>
      </c>
      <c r="M80" t="s">
        <v>118</v>
      </c>
      <c r="N80" t="s">
        <v>75</v>
      </c>
      <c r="O80" t="s">
        <v>86</v>
      </c>
      <c r="P80">
        <v>0</v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5</v>
      </c>
      <c r="Z80">
        <v>0</v>
      </c>
      <c r="AA80">
        <v>0</v>
      </c>
      <c r="AB80">
        <v>0</v>
      </c>
      <c r="AC80">
        <v>3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2</v>
      </c>
      <c r="AL80">
        <v>11</v>
      </c>
      <c r="AM80">
        <v>0</v>
      </c>
      <c r="AN80">
        <v>0</v>
      </c>
      <c r="AO80">
        <v>0</v>
      </c>
      <c r="AP80">
        <v>0</v>
      </c>
      <c r="AQ80">
        <v>2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</row>
    <row r="81" spans="1:65" x14ac:dyDescent="0.2">
      <c r="A81" t="s">
        <v>119</v>
      </c>
      <c r="B81" s="10">
        <v>51.818550000000002</v>
      </c>
      <c r="C81" s="10">
        <v>-1.2959670000000001</v>
      </c>
      <c r="D81" t="s">
        <v>137</v>
      </c>
      <c r="E81" t="s">
        <v>79</v>
      </c>
      <c r="F81">
        <v>8</v>
      </c>
      <c r="G81">
        <v>3</v>
      </c>
      <c r="H81">
        <f t="shared" si="3"/>
        <v>24</v>
      </c>
      <c r="I81">
        <f t="shared" si="4"/>
        <v>12</v>
      </c>
      <c r="J81">
        <f t="shared" si="5"/>
        <v>7</v>
      </c>
      <c r="K81">
        <v>211</v>
      </c>
      <c r="L81" t="s">
        <v>74</v>
      </c>
      <c r="M81" t="s">
        <v>118</v>
      </c>
      <c r="N81" t="s">
        <v>89</v>
      </c>
      <c r="O81" t="s">
        <v>115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2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3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 x14ac:dyDescent="0.2">
      <c r="A82" t="s">
        <v>120</v>
      </c>
      <c r="B82" s="10">
        <v>51.816716999999997</v>
      </c>
      <c r="C82" s="10">
        <v>-1.293917</v>
      </c>
      <c r="D82" t="s">
        <v>137</v>
      </c>
      <c r="E82" t="s">
        <v>79</v>
      </c>
      <c r="F82">
        <v>8</v>
      </c>
      <c r="G82">
        <v>2</v>
      </c>
      <c r="H82">
        <f t="shared" si="3"/>
        <v>16</v>
      </c>
      <c r="I82">
        <f t="shared" si="4"/>
        <v>13</v>
      </c>
      <c r="J82">
        <f t="shared" si="5"/>
        <v>8</v>
      </c>
      <c r="K82">
        <v>174</v>
      </c>
      <c r="L82" t="s">
        <v>83</v>
      </c>
      <c r="M82" t="s">
        <v>89</v>
      </c>
      <c r="N82" t="s">
        <v>85</v>
      </c>
      <c r="O82" t="s">
        <v>121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</v>
      </c>
      <c r="AL82">
        <v>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</row>
    <row r="83" spans="1:65" x14ac:dyDescent="0.2">
      <c r="A83" t="s">
        <v>122</v>
      </c>
      <c r="B83" s="10">
        <v>51.815533000000002</v>
      </c>
      <c r="C83" s="10">
        <v>-1.2947500000000001</v>
      </c>
      <c r="D83" t="s">
        <v>137</v>
      </c>
      <c r="E83" t="s">
        <v>73</v>
      </c>
      <c r="F83">
        <v>6</v>
      </c>
      <c r="G83">
        <v>3</v>
      </c>
      <c r="H83">
        <f t="shared" si="3"/>
        <v>18</v>
      </c>
      <c r="I83">
        <f t="shared" si="4"/>
        <v>19</v>
      </c>
      <c r="J83">
        <f t="shared" si="5"/>
        <v>8</v>
      </c>
      <c r="K83">
        <v>350</v>
      </c>
      <c r="L83" t="s">
        <v>97</v>
      </c>
      <c r="M83" t="s">
        <v>89</v>
      </c>
      <c r="N83" t="s">
        <v>85</v>
      </c>
      <c r="O83" t="s">
        <v>121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6</v>
      </c>
      <c r="AM83">
        <v>1</v>
      </c>
      <c r="AN83">
        <v>0</v>
      </c>
      <c r="AO83">
        <v>0</v>
      </c>
      <c r="AP83">
        <v>0</v>
      </c>
      <c r="AQ83">
        <v>5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 x14ac:dyDescent="0.2">
      <c r="A84" t="s">
        <v>123</v>
      </c>
      <c r="B84" s="10">
        <v>51.815832999999998</v>
      </c>
      <c r="C84" s="10">
        <v>-1.29295</v>
      </c>
      <c r="D84" t="s">
        <v>137</v>
      </c>
      <c r="E84" t="s">
        <v>73</v>
      </c>
      <c r="F84">
        <v>6</v>
      </c>
      <c r="G84">
        <v>3</v>
      </c>
      <c r="H84">
        <f t="shared" si="3"/>
        <v>18</v>
      </c>
      <c r="I84">
        <f t="shared" si="4"/>
        <v>26</v>
      </c>
      <c r="J84">
        <f t="shared" si="5"/>
        <v>14</v>
      </c>
      <c r="K84">
        <v>161</v>
      </c>
      <c r="L84" t="s">
        <v>124</v>
      </c>
      <c r="M84" t="s">
        <v>76</v>
      </c>
      <c r="N84" t="s">
        <v>85</v>
      </c>
      <c r="O84" t="s">
        <v>121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3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5</v>
      </c>
      <c r="AL84">
        <v>4</v>
      </c>
      <c r="AM84">
        <v>1</v>
      </c>
      <c r="AN84">
        <v>0</v>
      </c>
      <c r="AO84">
        <v>1</v>
      </c>
      <c r="AP84">
        <v>0</v>
      </c>
      <c r="AQ84">
        <v>3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2</v>
      </c>
    </row>
    <row r="85" spans="1:65" x14ac:dyDescent="0.2">
      <c r="A85" t="s">
        <v>125</v>
      </c>
      <c r="B85" s="10">
        <v>51.815133000000003</v>
      </c>
      <c r="C85" s="10">
        <v>-1.2927</v>
      </c>
      <c r="D85" t="s">
        <v>137</v>
      </c>
      <c r="E85" t="s">
        <v>79</v>
      </c>
      <c r="F85">
        <v>8</v>
      </c>
      <c r="G85">
        <v>3</v>
      </c>
      <c r="H85">
        <f t="shared" si="3"/>
        <v>24</v>
      </c>
      <c r="I85">
        <f t="shared" si="4"/>
        <v>18</v>
      </c>
      <c r="J85">
        <f t="shared" si="5"/>
        <v>8</v>
      </c>
      <c r="K85">
        <v>287</v>
      </c>
      <c r="L85" t="s">
        <v>92</v>
      </c>
      <c r="M85" t="s">
        <v>81</v>
      </c>
      <c r="N85" t="s">
        <v>89</v>
      </c>
      <c r="O85" t="s">
        <v>121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  <c r="X85">
        <v>0</v>
      </c>
      <c r="Y85">
        <v>4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4</v>
      </c>
      <c r="AM85">
        <v>0</v>
      </c>
      <c r="AN85">
        <v>0</v>
      </c>
      <c r="AO85">
        <v>0</v>
      </c>
      <c r="AP85">
        <v>0</v>
      </c>
      <c r="AQ85">
        <v>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2</v>
      </c>
    </row>
    <row r="86" spans="1:65" x14ac:dyDescent="0.2">
      <c r="A86" t="s">
        <v>126</v>
      </c>
      <c r="B86" s="10">
        <v>51.815100000000001</v>
      </c>
      <c r="C86" s="10">
        <v>-1.2924329999999999</v>
      </c>
      <c r="D86" t="s">
        <v>137</v>
      </c>
      <c r="E86" t="s">
        <v>79</v>
      </c>
      <c r="F86">
        <v>8</v>
      </c>
      <c r="G86">
        <v>3</v>
      </c>
      <c r="H86">
        <f t="shared" si="3"/>
        <v>24</v>
      </c>
      <c r="I86">
        <f t="shared" si="4"/>
        <v>22</v>
      </c>
      <c r="J86">
        <f t="shared" si="5"/>
        <v>10</v>
      </c>
      <c r="K86">
        <v>117</v>
      </c>
      <c r="L86" t="s">
        <v>80</v>
      </c>
      <c r="M86" t="s">
        <v>81</v>
      </c>
      <c r="N86" t="s">
        <v>89</v>
      </c>
      <c r="O86" t="s">
        <v>113</v>
      </c>
      <c r="P86">
        <v>0</v>
      </c>
      <c r="Q86">
        <v>4</v>
      </c>
      <c r="R86">
        <v>0</v>
      </c>
      <c r="S86">
        <v>0</v>
      </c>
      <c r="T86">
        <v>2</v>
      </c>
      <c r="U86">
        <v>0</v>
      </c>
      <c r="V86">
        <v>4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4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</row>
    <row r="87" spans="1:65" x14ac:dyDescent="0.2">
      <c r="A87" t="s">
        <v>127</v>
      </c>
      <c r="B87" s="10">
        <v>51.812600000000003</v>
      </c>
      <c r="C87" s="10">
        <v>-1.293833</v>
      </c>
      <c r="D87" t="s">
        <v>137</v>
      </c>
      <c r="E87" t="s">
        <v>79</v>
      </c>
      <c r="F87">
        <v>8</v>
      </c>
      <c r="G87">
        <v>3</v>
      </c>
      <c r="H87">
        <f t="shared" si="3"/>
        <v>24</v>
      </c>
      <c r="I87">
        <f t="shared" si="4"/>
        <v>21</v>
      </c>
      <c r="J87">
        <f t="shared" si="5"/>
        <v>9</v>
      </c>
      <c r="K87">
        <v>102</v>
      </c>
      <c r="L87" t="s">
        <v>88</v>
      </c>
      <c r="M87" t="s">
        <v>89</v>
      </c>
      <c r="N87" t="s">
        <v>75</v>
      </c>
      <c r="O87" t="s">
        <v>113</v>
      </c>
      <c r="P87">
        <v>0</v>
      </c>
      <c r="Q87">
        <v>3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2</v>
      </c>
      <c r="Z87">
        <v>1</v>
      </c>
      <c r="AA87">
        <v>1</v>
      </c>
      <c r="AB87">
        <v>0</v>
      </c>
      <c r="AC87">
        <v>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6</v>
      </c>
      <c r="AL87">
        <v>0</v>
      </c>
      <c r="AM87">
        <v>0</v>
      </c>
      <c r="AN87">
        <v>0</v>
      </c>
      <c r="AO87">
        <v>3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</row>
    <row r="88" spans="1:65" x14ac:dyDescent="0.2">
      <c r="A88" t="s">
        <v>128</v>
      </c>
      <c r="B88" s="10">
        <v>51.809583000000003</v>
      </c>
      <c r="C88" s="10">
        <v>-1.2956669999999999</v>
      </c>
      <c r="D88" t="s">
        <v>137</v>
      </c>
      <c r="E88" t="s">
        <v>79</v>
      </c>
      <c r="F88">
        <v>8</v>
      </c>
      <c r="G88">
        <v>3</v>
      </c>
      <c r="H88">
        <f t="shared" si="3"/>
        <v>24</v>
      </c>
      <c r="I88">
        <f t="shared" si="4"/>
        <v>16</v>
      </c>
      <c r="J88">
        <f t="shared" si="5"/>
        <v>11</v>
      </c>
      <c r="K88">
        <v>98</v>
      </c>
      <c r="L88" t="s">
        <v>88</v>
      </c>
      <c r="M88" t="s">
        <v>75</v>
      </c>
      <c r="N88" t="s">
        <v>75</v>
      </c>
      <c r="O88" t="s">
        <v>113</v>
      </c>
      <c r="P88">
        <v>1</v>
      </c>
      <c r="Q88">
        <v>2</v>
      </c>
      <c r="R88">
        <v>0</v>
      </c>
      <c r="S88">
        <v>0</v>
      </c>
      <c r="T88">
        <v>1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5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</row>
    <row r="89" spans="1:65" x14ac:dyDescent="0.2">
      <c r="A89" t="s">
        <v>129</v>
      </c>
      <c r="B89" s="10">
        <v>51.807749999999999</v>
      </c>
      <c r="C89" s="10">
        <v>-1.29295</v>
      </c>
      <c r="D89" t="s">
        <v>137</v>
      </c>
      <c r="E89" t="s">
        <v>79</v>
      </c>
      <c r="F89">
        <v>8</v>
      </c>
      <c r="G89">
        <v>2</v>
      </c>
      <c r="H89">
        <f t="shared" si="3"/>
        <v>16</v>
      </c>
      <c r="I89">
        <f t="shared" si="4"/>
        <v>17</v>
      </c>
      <c r="J89">
        <f t="shared" si="5"/>
        <v>6</v>
      </c>
      <c r="K89">
        <v>285</v>
      </c>
      <c r="L89" t="s">
        <v>92</v>
      </c>
      <c r="M89" t="s">
        <v>75</v>
      </c>
      <c r="N89" t="s">
        <v>89</v>
      </c>
      <c r="O89" t="s">
        <v>113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3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8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 x14ac:dyDescent="0.2">
      <c r="A90" t="s">
        <v>130</v>
      </c>
      <c r="B90" s="10">
        <v>51.808599999999998</v>
      </c>
      <c r="C90" s="10">
        <v>-1.288683</v>
      </c>
      <c r="D90" t="s">
        <v>137</v>
      </c>
      <c r="E90" t="s">
        <v>73</v>
      </c>
      <c r="F90">
        <v>6</v>
      </c>
      <c r="G90">
        <v>3</v>
      </c>
      <c r="H90">
        <f t="shared" si="3"/>
        <v>18</v>
      </c>
      <c r="I90">
        <f t="shared" si="4"/>
        <v>40</v>
      </c>
      <c r="J90">
        <f t="shared" si="5"/>
        <v>12</v>
      </c>
      <c r="K90">
        <v>274</v>
      </c>
      <c r="L90" t="s">
        <v>92</v>
      </c>
      <c r="M90" t="s">
        <v>76</v>
      </c>
      <c r="N90" t="s">
        <v>89</v>
      </c>
      <c r="O90" t="s">
        <v>113</v>
      </c>
      <c r="P90">
        <v>0</v>
      </c>
      <c r="Q90">
        <v>15</v>
      </c>
      <c r="R90">
        <v>0</v>
      </c>
      <c r="S90">
        <v>0</v>
      </c>
      <c r="T90">
        <v>1</v>
      </c>
      <c r="U90">
        <v>0</v>
      </c>
      <c r="V90">
        <v>3</v>
      </c>
      <c r="W90">
        <v>0</v>
      </c>
      <c r="X90">
        <v>0</v>
      </c>
      <c r="Y90">
        <v>2</v>
      </c>
      <c r="Z90">
        <v>2</v>
      </c>
      <c r="AA90">
        <v>0</v>
      </c>
      <c r="AB90">
        <v>0</v>
      </c>
      <c r="AC90">
        <v>0</v>
      </c>
      <c r="AD90">
        <v>2</v>
      </c>
      <c r="AE90">
        <v>3</v>
      </c>
      <c r="AF90">
        <v>0</v>
      </c>
      <c r="AG90">
        <v>0</v>
      </c>
      <c r="AH90">
        <v>0</v>
      </c>
      <c r="AI90">
        <v>0</v>
      </c>
      <c r="AJ90">
        <v>3</v>
      </c>
      <c r="AK90">
        <v>1</v>
      </c>
      <c r="AL90">
        <v>1</v>
      </c>
      <c r="AM90">
        <v>0</v>
      </c>
      <c r="AN90">
        <v>0</v>
      </c>
      <c r="AO90">
        <v>5</v>
      </c>
      <c r="AP90">
        <v>0</v>
      </c>
      <c r="AQ90">
        <v>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</row>
    <row r="91" spans="1:65" x14ac:dyDescent="0.2">
      <c r="A91" t="s">
        <v>131</v>
      </c>
      <c r="B91" s="10">
        <v>51.811216999999999</v>
      </c>
      <c r="C91" s="10">
        <v>-1.2882830000000001</v>
      </c>
      <c r="D91" t="s">
        <v>137</v>
      </c>
      <c r="E91" t="s">
        <v>73</v>
      </c>
      <c r="F91">
        <v>6</v>
      </c>
      <c r="G91">
        <v>3</v>
      </c>
      <c r="H91">
        <f t="shared" si="3"/>
        <v>18</v>
      </c>
      <c r="I91">
        <f t="shared" si="4"/>
        <v>15</v>
      </c>
      <c r="J91">
        <f t="shared" si="5"/>
        <v>10</v>
      </c>
      <c r="K91">
        <v>278</v>
      </c>
      <c r="L91" t="s">
        <v>92</v>
      </c>
      <c r="M91" t="s">
        <v>76</v>
      </c>
      <c r="N91" t="s">
        <v>75</v>
      </c>
      <c r="O91" t="s">
        <v>113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1</v>
      </c>
      <c r="Z91">
        <v>2</v>
      </c>
      <c r="AA91">
        <v>1</v>
      </c>
      <c r="AB91">
        <v>0</v>
      </c>
      <c r="AC91">
        <v>1</v>
      </c>
      <c r="AD91">
        <v>2</v>
      </c>
      <c r="AE91">
        <v>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C485-2AB2-B141-832D-36881E315D48}">
  <dimension ref="A1:AY91"/>
  <sheetViews>
    <sheetView workbookViewId="0">
      <selection activeCell="O1" sqref="O1"/>
    </sheetView>
  </sheetViews>
  <sheetFormatPr baseColWidth="10" defaultRowHeight="16" x14ac:dyDescent="0.2"/>
  <cols>
    <col min="4" max="4" width="5.33203125" bestFit="1" customWidth="1"/>
  </cols>
  <sheetData>
    <row r="1" spans="1:51" ht="149" x14ac:dyDescent="0.2">
      <c r="A1" s="14" t="s">
        <v>0</v>
      </c>
      <c r="B1" s="25" t="s">
        <v>1</v>
      </c>
      <c r="C1" s="25" t="s">
        <v>2</v>
      </c>
      <c r="D1" s="1" t="s">
        <v>134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8" t="s">
        <v>187</v>
      </c>
      <c r="Q1" s="18" t="s">
        <v>188</v>
      </c>
      <c r="R1" s="18" t="s">
        <v>189</v>
      </c>
      <c r="S1" s="18" t="s">
        <v>190</v>
      </c>
      <c r="T1" s="18" t="s">
        <v>191</v>
      </c>
      <c r="U1" s="18" t="s">
        <v>192</v>
      </c>
      <c r="V1" s="18" t="s">
        <v>193</v>
      </c>
      <c r="W1" s="18" t="s">
        <v>194</v>
      </c>
      <c r="X1" s="18" t="s">
        <v>195</v>
      </c>
      <c r="Y1" s="18" t="s">
        <v>196</v>
      </c>
      <c r="Z1" s="18" t="s">
        <v>197</v>
      </c>
      <c r="AA1" s="18" t="s">
        <v>198</v>
      </c>
      <c r="AB1" s="18" t="s">
        <v>199</v>
      </c>
      <c r="AC1" s="18" t="s">
        <v>200</v>
      </c>
      <c r="AD1" s="18" t="s">
        <v>201</v>
      </c>
      <c r="AE1" s="18" t="s">
        <v>202</v>
      </c>
      <c r="AF1" s="18" t="s">
        <v>203</v>
      </c>
      <c r="AG1" s="18" t="s">
        <v>204</v>
      </c>
      <c r="AH1" s="18" t="s">
        <v>205</v>
      </c>
      <c r="AI1" s="18" t="s">
        <v>206</v>
      </c>
      <c r="AJ1" s="18" t="s">
        <v>207</v>
      </c>
      <c r="AK1" s="18" t="s">
        <v>208</v>
      </c>
      <c r="AL1" s="18" t="s">
        <v>209</v>
      </c>
      <c r="AM1" s="18" t="s">
        <v>210</v>
      </c>
      <c r="AN1" s="18" t="s">
        <v>211</v>
      </c>
      <c r="AO1" s="18" t="s">
        <v>212</v>
      </c>
      <c r="AP1" s="18" t="s">
        <v>213</v>
      </c>
      <c r="AQ1" s="18" t="s">
        <v>214</v>
      </c>
      <c r="AR1" s="18" t="s">
        <v>215</v>
      </c>
      <c r="AS1" s="18" t="s">
        <v>216</v>
      </c>
      <c r="AT1" s="18" t="s">
        <v>217</v>
      </c>
      <c r="AU1" s="18" t="s">
        <v>218</v>
      </c>
      <c r="AV1" s="18" t="s">
        <v>219</v>
      </c>
      <c r="AW1" s="18" t="s">
        <v>220</v>
      </c>
      <c r="AX1" s="18" t="s">
        <v>221</v>
      </c>
      <c r="AY1" s="18" t="s">
        <v>222</v>
      </c>
    </row>
    <row r="2" spans="1:51" x14ac:dyDescent="0.2">
      <c r="A2" s="15" t="s">
        <v>72</v>
      </c>
      <c r="B2" s="28">
        <v>51.822099999999999</v>
      </c>
      <c r="C2" s="28">
        <v>-1.2992330000000001</v>
      </c>
      <c r="D2" t="s">
        <v>135</v>
      </c>
      <c r="E2" s="15" t="s">
        <v>73</v>
      </c>
      <c r="F2" s="15">
        <v>6</v>
      </c>
      <c r="G2" s="15">
        <v>3</v>
      </c>
      <c r="H2" s="15">
        <v>18</v>
      </c>
      <c r="I2" s="15">
        <f>SUM(P2:AY2)</f>
        <v>13</v>
      </c>
      <c r="J2" s="15">
        <f>COUNTIF(P2:AY2,"&gt;0")</f>
        <v>3</v>
      </c>
      <c r="K2" s="29">
        <v>225</v>
      </c>
      <c r="L2" s="15" t="s">
        <v>74</v>
      </c>
      <c r="M2" s="15" t="s">
        <v>75</v>
      </c>
      <c r="N2" s="15" t="s">
        <v>76</v>
      </c>
      <c r="O2" s="15" t="s">
        <v>77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1</v>
      </c>
      <c r="AE2" s="15">
        <v>0</v>
      </c>
      <c r="AF2" s="15">
        <v>0</v>
      </c>
      <c r="AG2" s="15">
        <v>11</v>
      </c>
      <c r="AH2" s="15">
        <v>0</v>
      </c>
      <c r="AI2" s="15">
        <v>0</v>
      </c>
      <c r="AJ2" s="15">
        <v>1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</row>
    <row r="3" spans="1:51" x14ac:dyDescent="0.2">
      <c r="A3" s="15" t="s">
        <v>78</v>
      </c>
      <c r="B3" s="28">
        <v>51.822516999999998</v>
      </c>
      <c r="C3" s="28">
        <v>-1.3022499999999999</v>
      </c>
      <c r="D3" t="s">
        <v>135</v>
      </c>
      <c r="E3" s="15" t="s">
        <v>79</v>
      </c>
      <c r="F3" s="15">
        <v>8</v>
      </c>
      <c r="G3" s="15">
        <v>3</v>
      </c>
      <c r="H3" s="15">
        <v>24</v>
      </c>
      <c r="I3" s="15">
        <f t="shared" ref="I3:I66" si="0">SUM(P3:AY3)</f>
        <v>16</v>
      </c>
      <c r="J3" s="15">
        <f t="shared" ref="J3:J66" si="1">COUNTIF(P3:AY3,"&gt;0")</f>
        <v>3</v>
      </c>
      <c r="K3" s="15">
        <v>150</v>
      </c>
      <c r="L3" s="15" t="s">
        <v>80</v>
      </c>
      <c r="M3" s="15" t="s">
        <v>81</v>
      </c>
      <c r="N3" s="15" t="s">
        <v>75</v>
      </c>
      <c r="O3" s="15" t="s">
        <v>77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11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4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1</v>
      </c>
      <c r="AV3" s="15">
        <v>0</v>
      </c>
      <c r="AW3" s="15">
        <v>0</v>
      </c>
      <c r="AX3" s="15">
        <v>0</v>
      </c>
      <c r="AY3" s="15">
        <v>0</v>
      </c>
    </row>
    <row r="4" spans="1:51" x14ac:dyDescent="0.2">
      <c r="A4" s="15" t="s">
        <v>82</v>
      </c>
      <c r="B4" s="28">
        <v>51.823616999999999</v>
      </c>
      <c r="C4" s="28">
        <v>-1.3056000000000001</v>
      </c>
      <c r="D4" t="s">
        <v>135</v>
      </c>
      <c r="E4" s="15" t="s">
        <v>73</v>
      </c>
      <c r="F4" s="15">
        <v>6</v>
      </c>
      <c r="G4" s="15">
        <v>3</v>
      </c>
      <c r="H4" s="15">
        <v>18</v>
      </c>
      <c r="I4" s="15">
        <f t="shared" si="0"/>
        <v>15</v>
      </c>
      <c r="J4" s="15">
        <f t="shared" si="1"/>
        <v>5</v>
      </c>
      <c r="K4" s="15">
        <v>179</v>
      </c>
      <c r="L4" s="15" t="s">
        <v>83</v>
      </c>
      <c r="M4" s="15" t="s">
        <v>84</v>
      </c>
      <c r="N4" s="15" t="s">
        <v>85</v>
      </c>
      <c r="O4" s="15" t="s">
        <v>86</v>
      </c>
      <c r="P4" s="15">
        <v>0</v>
      </c>
      <c r="Q4" s="15">
        <v>0</v>
      </c>
      <c r="R4" s="15">
        <v>0</v>
      </c>
      <c r="S4" s="15">
        <v>11</v>
      </c>
      <c r="T4" s="15">
        <v>0</v>
      </c>
      <c r="U4" s="15">
        <v>0</v>
      </c>
      <c r="V4" s="15">
        <v>1</v>
      </c>
      <c r="W4" s="15">
        <v>0</v>
      </c>
      <c r="X4" s="15">
        <v>1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1</v>
      </c>
      <c r="AT4" s="15">
        <v>0</v>
      </c>
      <c r="AU4" s="15">
        <v>0</v>
      </c>
      <c r="AV4" s="15">
        <v>0</v>
      </c>
      <c r="AW4" s="15">
        <v>0</v>
      </c>
      <c r="AX4" s="15">
        <v>1</v>
      </c>
      <c r="AY4" s="15">
        <v>0</v>
      </c>
    </row>
    <row r="5" spans="1:51" x14ac:dyDescent="0.2">
      <c r="A5" s="15" t="s">
        <v>87</v>
      </c>
      <c r="B5" s="28">
        <v>51.822032999999998</v>
      </c>
      <c r="C5" s="28">
        <v>-1.30945</v>
      </c>
      <c r="D5" t="s">
        <v>135</v>
      </c>
      <c r="E5" s="15" t="s">
        <v>73</v>
      </c>
      <c r="F5" s="15">
        <v>6</v>
      </c>
      <c r="G5" s="15">
        <v>3</v>
      </c>
      <c r="H5" s="15">
        <v>18</v>
      </c>
      <c r="I5" s="15">
        <f t="shared" si="0"/>
        <v>0</v>
      </c>
      <c r="J5" s="15">
        <f t="shared" si="1"/>
        <v>0</v>
      </c>
      <c r="K5" s="15">
        <v>88</v>
      </c>
      <c r="L5" s="15" t="s">
        <v>88</v>
      </c>
      <c r="M5" s="15" t="s">
        <v>81</v>
      </c>
      <c r="N5" s="15" t="s">
        <v>89</v>
      </c>
      <c r="O5" s="15" t="s">
        <v>86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</row>
    <row r="6" spans="1:51" x14ac:dyDescent="0.2">
      <c r="A6" s="15" t="s">
        <v>90</v>
      </c>
      <c r="B6" s="28">
        <v>51.820900000000002</v>
      </c>
      <c r="C6" s="28">
        <v>-1.3093669999999999</v>
      </c>
      <c r="D6" t="s">
        <v>135</v>
      </c>
      <c r="E6" s="15" t="s">
        <v>91</v>
      </c>
      <c r="F6" s="15">
        <v>2</v>
      </c>
      <c r="G6" s="15">
        <v>2</v>
      </c>
      <c r="H6" s="15">
        <v>4</v>
      </c>
      <c r="I6" s="15">
        <f t="shared" si="0"/>
        <v>21</v>
      </c>
      <c r="J6" s="15">
        <f t="shared" si="1"/>
        <v>6</v>
      </c>
      <c r="K6" s="15">
        <v>255</v>
      </c>
      <c r="L6" s="15" t="s">
        <v>92</v>
      </c>
      <c r="M6" s="15" t="s">
        <v>85</v>
      </c>
      <c r="N6" s="15" t="s">
        <v>84</v>
      </c>
      <c r="O6" s="15" t="s">
        <v>86</v>
      </c>
      <c r="P6" s="15">
        <v>0</v>
      </c>
      <c r="Q6" s="15">
        <v>0</v>
      </c>
      <c r="R6" s="15">
        <v>0</v>
      </c>
      <c r="S6" s="15">
        <v>2</v>
      </c>
      <c r="T6" s="15">
        <v>0</v>
      </c>
      <c r="U6" s="15">
        <v>0</v>
      </c>
      <c r="V6" s="15">
        <v>0</v>
      </c>
      <c r="W6" s="15">
        <v>0</v>
      </c>
      <c r="X6" s="15">
        <v>6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1</v>
      </c>
      <c r="AH6" s="15">
        <v>2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9</v>
      </c>
      <c r="AU6" s="15">
        <v>0</v>
      </c>
      <c r="AV6" s="15">
        <v>0</v>
      </c>
      <c r="AW6" s="15">
        <v>0</v>
      </c>
      <c r="AX6" s="15">
        <v>1</v>
      </c>
      <c r="AY6" s="15">
        <v>0</v>
      </c>
    </row>
    <row r="7" spans="1:51" x14ac:dyDescent="0.2">
      <c r="A7" s="15" t="s">
        <v>93</v>
      </c>
      <c r="B7" s="28">
        <v>51.818367000000002</v>
      </c>
      <c r="C7" s="28">
        <v>-1.3125830000000001</v>
      </c>
      <c r="D7" t="s">
        <v>135</v>
      </c>
      <c r="E7" s="15" t="s">
        <v>73</v>
      </c>
      <c r="F7" s="15">
        <v>6</v>
      </c>
      <c r="G7" s="15">
        <v>2</v>
      </c>
      <c r="H7" s="15">
        <v>12</v>
      </c>
      <c r="I7" s="15">
        <f t="shared" si="0"/>
        <v>25</v>
      </c>
      <c r="J7" s="15">
        <f t="shared" si="1"/>
        <v>4</v>
      </c>
      <c r="K7" s="15">
        <v>255</v>
      </c>
      <c r="L7" s="15" t="s">
        <v>92</v>
      </c>
      <c r="M7" s="15" t="s">
        <v>75</v>
      </c>
      <c r="N7" s="15" t="s">
        <v>85</v>
      </c>
      <c r="O7" s="15" t="s">
        <v>94</v>
      </c>
      <c r="P7" s="15">
        <v>0</v>
      </c>
      <c r="Q7" s="15">
        <v>0</v>
      </c>
      <c r="R7" s="15">
        <v>0</v>
      </c>
      <c r="S7" s="15">
        <v>0</v>
      </c>
      <c r="T7" s="15">
        <v>5</v>
      </c>
      <c r="U7" s="15">
        <v>0</v>
      </c>
      <c r="V7" s="15">
        <v>0</v>
      </c>
      <c r="W7" s="15">
        <v>0</v>
      </c>
      <c r="X7" s="15">
        <v>2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16</v>
      </c>
      <c r="AU7" s="15">
        <v>0</v>
      </c>
      <c r="AV7" s="15">
        <v>0</v>
      </c>
      <c r="AW7" s="15">
        <v>0</v>
      </c>
      <c r="AX7" s="15">
        <v>2</v>
      </c>
      <c r="AY7" s="15">
        <v>0</v>
      </c>
    </row>
    <row r="8" spans="1:51" x14ac:dyDescent="0.2">
      <c r="A8" s="15" t="s">
        <v>95</v>
      </c>
      <c r="B8" s="28">
        <v>51.817667</v>
      </c>
      <c r="C8" s="28">
        <v>-1.314683</v>
      </c>
      <c r="D8" t="s">
        <v>135</v>
      </c>
      <c r="E8" s="15" t="s">
        <v>96</v>
      </c>
      <c r="F8" s="15">
        <v>4</v>
      </c>
      <c r="G8" s="15">
        <v>3</v>
      </c>
      <c r="H8" s="15">
        <v>12</v>
      </c>
      <c r="I8" s="15">
        <f t="shared" si="0"/>
        <v>4</v>
      </c>
      <c r="J8" s="15">
        <f t="shared" si="1"/>
        <v>2</v>
      </c>
      <c r="K8" s="15">
        <v>2</v>
      </c>
      <c r="L8" s="15" t="s">
        <v>97</v>
      </c>
      <c r="M8" s="15" t="s">
        <v>84</v>
      </c>
      <c r="N8" s="15" t="s">
        <v>84</v>
      </c>
      <c r="O8" s="15" t="s">
        <v>94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1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3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</row>
    <row r="9" spans="1:51" x14ac:dyDescent="0.2">
      <c r="A9" s="15" t="s">
        <v>98</v>
      </c>
      <c r="B9" s="28">
        <v>51.817332999999998</v>
      </c>
      <c r="C9" s="28">
        <v>-1.3145</v>
      </c>
      <c r="D9" t="s">
        <v>135</v>
      </c>
      <c r="E9" s="15" t="s">
        <v>73</v>
      </c>
      <c r="F9" s="15">
        <v>6</v>
      </c>
      <c r="G9" s="15">
        <v>3</v>
      </c>
      <c r="H9" s="15">
        <v>18</v>
      </c>
      <c r="I9" s="15">
        <f t="shared" si="0"/>
        <v>5</v>
      </c>
      <c r="J9" s="15">
        <f t="shared" si="1"/>
        <v>3</v>
      </c>
      <c r="K9" s="15">
        <v>171</v>
      </c>
      <c r="L9" s="15" t="s">
        <v>83</v>
      </c>
      <c r="M9" s="15" t="s">
        <v>81</v>
      </c>
      <c r="N9" s="15" t="s">
        <v>89</v>
      </c>
      <c r="O9" s="15" t="s">
        <v>99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1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2</v>
      </c>
      <c r="AT9" s="15">
        <v>2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</row>
    <row r="10" spans="1:51" x14ac:dyDescent="0.2">
      <c r="A10" s="15" t="s">
        <v>100</v>
      </c>
      <c r="B10" s="28">
        <v>51.816682999999998</v>
      </c>
      <c r="C10" s="28">
        <v>-1.31325</v>
      </c>
      <c r="D10" t="s">
        <v>135</v>
      </c>
      <c r="E10" s="15" t="s">
        <v>73</v>
      </c>
      <c r="F10" s="15">
        <v>6</v>
      </c>
      <c r="G10" s="15">
        <v>2</v>
      </c>
      <c r="H10" s="15">
        <v>12</v>
      </c>
      <c r="I10" s="15">
        <f t="shared" si="0"/>
        <v>19</v>
      </c>
      <c r="J10" s="15">
        <f t="shared" si="1"/>
        <v>2</v>
      </c>
      <c r="K10" s="15">
        <v>268</v>
      </c>
      <c r="L10" s="15" t="s">
        <v>92</v>
      </c>
      <c r="M10" s="15" t="s">
        <v>75</v>
      </c>
      <c r="N10" s="15" t="s">
        <v>89</v>
      </c>
      <c r="O10" s="15" t="s">
        <v>94</v>
      </c>
      <c r="P10" s="15">
        <v>0</v>
      </c>
      <c r="Q10" s="15">
        <v>0</v>
      </c>
      <c r="R10" s="15">
        <v>0</v>
      </c>
      <c r="S10" s="15">
        <v>18</v>
      </c>
      <c r="T10" s="15">
        <v>0</v>
      </c>
      <c r="U10" s="15">
        <v>0</v>
      </c>
      <c r="V10" s="15">
        <v>1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</row>
    <row r="11" spans="1:51" x14ac:dyDescent="0.2">
      <c r="A11" s="15" t="s">
        <v>101</v>
      </c>
      <c r="B11" s="28">
        <v>51.815100000000001</v>
      </c>
      <c r="C11" s="28">
        <v>-1.313367</v>
      </c>
      <c r="D11" t="s">
        <v>135</v>
      </c>
      <c r="E11" s="15" t="s">
        <v>102</v>
      </c>
      <c r="F11" s="15">
        <v>1</v>
      </c>
      <c r="G11" s="15">
        <v>3</v>
      </c>
      <c r="H11" s="15">
        <v>3</v>
      </c>
      <c r="I11" s="15">
        <f t="shared" si="0"/>
        <v>1</v>
      </c>
      <c r="J11" s="15">
        <f t="shared" si="1"/>
        <v>1</v>
      </c>
      <c r="K11" s="15">
        <v>333</v>
      </c>
      <c r="L11" s="15" t="s">
        <v>103</v>
      </c>
      <c r="M11" s="15" t="s">
        <v>104</v>
      </c>
      <c r="N11" s="15" t="s">
        <v>84</v>
      </c>
      <c r="O11" s="15" t="s">
        <v>94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1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</row>
    <row r="12" spans="1:51" x14ac:dyDescent="0.2">
      <c r="A12" s="15" t="s">
        <v>105</v>
      </c>
      <c r="B12" s="28">
        <v>51.817749999999997</v>
      </c>
      <c r="C12" s="28">
        <v>-1.310883</v>
      </c>
      <c r="D12" t="s">
        <v>135</v>
      </c>
      <c r="E12" s="15" t="s">
        <v>96</v>
      </c>
      <c r="F12" s="15">
        <v>4</v>
      </c>
      <c r="G12" s="15">
        <v>3</v>
      </c>
      <c r="H12" s="15">
        <v>12</v>
      </c>
      <c r="I12" s="15">
        <f t="shared" si="0"/>
        <v>19</v>
      </c>
      <c r="J12" s="15">
        <f t="shared" si="1"/>
        <v>3</v>
      </c>
      <c r="K12" s="15">
        <v>0</v>
      </c>
      <c r="L12" s="15" t="s">
        <v>97</v>
      </c>
      <c r="M12" s="15" t="s">
        <v>85</v>
      </c>
      <c r="N12" s="15" t="s">
        <v>84</v>
      </c>
      <c r="O12" s="15" t="s">
        <v>94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1</v>
      </c>
      <c r="Y12" s="15">
        <v>0</v>
      </c>
      <c r="Z12" s="15">
        <v>0</v>
      </c>
      <c r="AA12" s="15">
        <v>1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17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</row>
    <row r="13" spans="1:51" x14ac:dyDescent="0.2">
      <c r="A13" s="15" t="s">
        <v>106</v>
      </c>
      <c r="B13" s="28">
        <v>51.816133000000001</v>
      </c>
      <c r="C13" s="28">
        <v>-1.3091330000000001</v>
      </c>
      <c r="D13" t="s">
        <v>135</v>
      </c>
      <c r="E13" s="15" t="s">
        <v>96</v>
      </c>
      <c r="F13" s="15">
        <v>4</v>
      </c>
      <c r="G13" s="15">
        <v>3</v>
      </c>
      <c r="H13" s="15">
        <v>12</v>
      </c>
      <c r="I13" s="15">
        <f t="shared" si="0"/>
        <v>9</v>
      </c>
      <c r="J13" s="15">
        <f t="shared" si="1"/>
        <v>5</v>
      </c>
      <c r="K13" s="15">
        <v>358</v>
      </c>
      <c r="L13" s="15" t="s">
        <v>97</v>
      </c>
      <c r="M13" s="15" t="s">
        <v>85</v>
      </c>
      <c r="N13" s="15" t="s">
        <v>85</v>
      </c>
      <c r="O13" s="15" t="s">
        <v>94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1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1</v>
      </c>
      <c r="AH13" s="15">
        <v>0</v>
      </c>
      <c r="AI13" s="15">
        <v>0</v>
      </c>
      <c r="AJ13" s="15">
        <v>2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4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</row>
    <row r="14" spans="1:51" x14ac:dyDescent="0.2">
      <c r="A14" s="15" t="s">
        <v>107</v>
      </c>
      <c r="B14" s="28">
        <v>51.815100000000001</v>
      </c>
      <c r="C14" s="28">
        <v>-1.307833</v>
      </c>
      <c r="D14" t="s">
        <v>135</v>
      </c>
      <c r="E14" s="15" t="s">
        <v>96</v>
      </c>
      <c r="F14" s="15">
        <v>4</v>
      </c>
      <c r="G14" s="15">
        <v>3</v>
      </c>
      <c r="H14" s="15">
        <v>12</v>
      </c>
      <c r="I14" s="15">
        <f t="shared" si="0"/>
        <v>9</v>
      </c>
      <c r="J14" s="15">
        <f t="shared" si="1"/>
        <v>3</v>
      </c>
      <c r="K14" s="15">
        <v>4</v>
      </c>
      <c r="L14" s="15" t="s">
        <v>97</v>
      </c>
      <c r="M14" s="15" t="s">
        <v>84</v>
      </c>
      <c r="N14" s="15" t="s">
        <v>84</v>
      </c>
      <c r="O14" s="15" t="s">
        <v>108</v>
      </c>
      <c r="P14" s="15">
        <v>0</v>
      </c>
      <c r="Q14" s="15">
        <v>0</v>
      </c>
      <c r="R14" s="15">
        <v>0</v>
      </c>
      <c r="S14" s="15">
        <v>0</v>
      </c>
      <c r="T14" s="15">
        <v>1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7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</row>
    <row r="15" spans="1:51" x14ac:dyDescent="0.2">
      <c r="A15" s="15" t="s">
        <v>109</v>
      </c>
      <c r="B15" s="28">
        <v>51.816766999999999</v>
      </c>
      <c r="C15" s="28">
        <v>-1.3060499999999999</v>
      </c>
      <c r="D15" t="s">
        <v>135</v>
      </c>
      <c r="E15" s="15" t="s">
        <v>110</v>
      </c>
      <c r="F15" s="15">
        <v>2</v>
      </c>
      <c r="G15" s="15">
        <v>2</v>
      </c>
      <c r="H15" s="15">
        <v>4</v>
      </c>
      <c r="I15" s="15">
        <f t="shared" si="0"/>
        <v>5</v>
      </c>
      <c r="J15" s="15">
        <f t="shared" si="1"/>
        <v>2</v>
      </c>
      <c r="K15" s="15">
        <v>268</v>
      </c>
      <c r="L15" s="15" t="s">
        <v>92</v>
      </c>
      <c r="M15" s="15" t="s">
        <v>104</v>
      </c>
      <c r="N15" s="15" t="s">
        <v>104</v>
      </c>
      <c r="O15" s="15" t="s">
        <v>99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1</v>
      </c>
      <c r="AT15" s="15">
        <v>4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</row>
    <row r="16" spans="1:51" x14ac:dyDescent="0.2">
      <c r="A16" s="15" t="s">
        <v>111</v>
      </c>
      <c r="B16" s="28">
        <v>51.816682999999998</v>
      </c>
      <c r="C16" s="28">
        <v>-1.305917</v>
      </c>
      <c r="D16" t="s">
        <v>135</v>
      </c>
      <c r="E16" s="15" t="s">
        <v>110</v>
      </c>
      <c r="F16" s="15">
        <v>2</v>
      </c>
      <c r="G16" s="15">
        <v>2</v>
      </c>
      <c r="H16" s="15">
        <v>4</v>
      </c>
      <c r="I16" s="15">
        <f t="shared" si="0"/>
        <v>4</v>
      </c>
      <c r="J16" s="15">
        <f t="shared" si="1"/>
        <v>4</v>
      </c>
      <c r="K16" s="15">
        <v>84</v>
      </c>
      <c r="L16" s="15" t="s">
        <v>88</v>
      </c>
      <c r="M16" s="15" t="s">
        <v>104</v>
      </c>
      <c r="N16" s="15" t="s">
        <v>104</v>
      </c>
      <c r="O16" s="15" t="s">
        <v>99</v>
      </c>
      <c r="P16" s="15">
        <v>0</v>
      </c>
      <c r="Q16" s="15">
        <v>1</v>
      </c>
      <c r="R16" s="15">
        <v>0</v>
      </c>
      <c r="S16" s="15">
        <v>0</v>
      </c>
      <c r="T16" s="15">
        <v>1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1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</row>
    <row r="17" spans="1:51" x14ac:dyDescent="0.2">
      <c r="A17" s="15" t="s">
        <v>112</v>
      </c>
      <c r="B17" s="28">
        <v>51.815632999999998</v>
      </c>
      <c r="C17" s="28">
        <v>-1.2991999999999999</v>
      </c>
      <c r="D17" t="s">
        <v>135</v>
      </c>
      <c r="E17" s="15" t="s">
        <v>96</v>
      </c>
      <c r="F17" s="15">
        <v>4</v>
      </c>
      <c r="G17" s="15">
        <v>3</v>
      </c>
      <c r="H17" s="15">
        <v>12</v>
      </c>
      <c r="I17" s="15">
        <f t="shared" si="0"/>
        <v>1</v>
      </c>
      <c r="J17" s="15">
        <f t="shared" si="1"/>
        <v>1</v>
      </c>
      <c r="K17" s="15">
        <v>179</v>
      </c>
      <c r="L17" s="15" t="s">
        <v>83</v>
      </c>
      <c r="M17" s="15" t="s">
        <v>84</v>
      </c>
      <c r="N17" s="15" t="s">
        <v>85</v>
      </c>
      <c r="O17" s="15" t="s">
        <v>113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1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</row>
    <row r="18" spans="1:51" x14ac:dyDescent="0.2">
      <c r="A18" s="15" t="s">
        <v>114</v>
      </c>
      <c r="B18" s="28">
        <v>51.815617000000003</v>
      </c>
      <c r="C18" s="28">
        <v>-1.3024169999999999</v>
      </c>
      <c r="D18" t="s">
        <v>135</v>
      </c>
      <c r="E18" s="15" t="s">
        <v>73</v>
      </c>
      <c r="F18" s="15">
        <v>6</v>
      </c>
      <c r="G18" s="15">
        <v>3</v>
      </c>
      <c r="H18" s="15">
        <v>18</v>
      </c>
      <c r="I18" s="15">
        <f t="shared" si="0"/>
        <v>5</v>
      </c>
      <c r="J18" s="15">
        <f t="shared" si="1"/>
        <v>2</v>
      </c>
      <c r="K18" s="15">
        <v>182</v>
      </c>
      <c r="L18" s="15" t="s">
        <v>83</v>
      </c>
      <c r="M18" s="15" t="s">
        <v>85</v>
      </c>
      <c r="N18" s="15" t="s">
        <v>85</v>
      </c>
      <c r="O18" s="15" t="s">
        <v>115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2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3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</row>
    <row r="19" spans="1:51" x14ac:dyDescent="0.2">
      <c r="A19" s="15" t="s">
        <v>116</v>
      </c>
      <c r="B19" s="28">
        <v>51.813732999999999</v>
      </c>
      <c r="C19" s="28">
        <v>-1.3007169999999999</v>
      </c>
      <c r="D19" t="s">
        <v>135</v>
      </c>
      <c r="E19" s="15" t="s">
        <v>96</v>
      </c>
      <c r="F19" s="15">
        <v>4</v>
      </c>
      <c r="G19" s="15">
        <v>2</v>
      </c>
      <c r="H19" s="15">
        <v>8</v>
      </c>
      <c r="I19" s="15">
        <f t="shared" si="0"/>
        <v>28</v>
      </c>
      <c r="J19" s="15">
        <f t="shared" si="1"/>
        <v>2</v>
      </c>
      <c r="K19" s="15">
        <v>165</v>
      </c>
      <c r="L19" s="15" t="s">
        <v>83</v>
      </c>
      <c r="M19" s="15" t="s">
        <v>76</v>
      </c>
      <c r="N19" s="15" t="s">
        <v>84</v>
      </c>
      <c r="O19" s="15" t="s">
        <v>86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1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27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</row>
    <row r="20" spans="1:51" x14ac:dyDescent="0.2">
      <c r="A20" s="15" t="s">
        <v>117</v>
      </c>
      <c r="B20" s="28">
        <v>51.810867000000002</v>
      </c>
      <c r="C20" s="28">
        <v>-1.3022</v>
      </c>
      <c r="D20" t="s">
        <v>135</v>
      </c>
      <c r="E20" s="15" t="s">
        <v>79</v>
      </c>
      <c r="F20" s="15">
        <v>8</v>
      </c>
      <c r="G20" s="15">
        <v>3</v>
      </c>
      <c r="H20" s="15">
        <v>24</v>
      </c>
      <c r="I20" s="15">
        <f t="shared" si="0"/>
        <v>6</v>
      </c>
      <c r="J20" s="15">
        <f t="shared" si="1"/>
        <v>4</v>
      </c>
      <c r="K20" s="15">
        <v>314</v>
      </c>
      <c r="L20" s="15" t="s">
        <v>103</v>
      </c>
      <c r="M20" s="15" t="s">
        <v>118</v>
      </c>
      <c r="N20" s="15" t="s">
        <v>75</v>
      </c>
      <c r="O20" s="15" t="s">
        <v>86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2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1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2</v>
      </c>
      <c r="AQ20" s="15">
        <v>0</v>
      </c>
      <c r="AR20" s="15">
        <v>0</v>
      </c>
      <c r="AS20" s="15">
        <v>0</v>
      </c>
      <c r="AT20" s="15">
        <v>1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</row>
    <row r="21" spans="1:51" x14ac:dyDescent="0.2">
      <c r="A21" s="15" t="s">
        <v>119</v>
      </c>
      <c r="B21" s="28">
        <v>51.818550000000002</v>
      </c>
      <c r="C21" s="28">
        <v>-1.2959670000000001</v>
      </c>
      <c r="D21" t="s">
        <v>135</v>
      </c>
      <c r="E21" s="15" t="s">
        <v>79</v>
      </c>
      <c r="F21" s="15">
        <v>8</v>
      </c>
      <c r="G21" s="15">
        <v>3</v>
      </c>
      <c r="H21" s="15">
        <v>24</v>
      </c>
      <c r="I21" s="15">
        <f t="shared" si="0"/>
        <v>10</v>
      </c>
      <c r="J21" s="15">
        <f t="shared" si="1"/>
        <v>5</v>
      </c>
      <c r="K21" s="15">
        <v>211</v>
      </c>
      <c r="L21" s="15" t="s">
        <v>74</v>
      </c>
      <c r="M21" s="15" t="s">
        <v>118</v>
      </c>
      <c r="N21" s="15" t="s">
        <v>89</v>
      </c>
      <c r="O21" s="15" t="s">
        <v>115</v>
      </c>
      <c r="P21" s="15">
        <v>0</v>
      </c>
      <c r="Q21" s="15">
        <v>6</v>
      </c>
      <c r="R21" s="15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1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1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1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</row>
    <row r="22" spans="1:51" x14ac:dyDescent="0.2">
      <c r="A22" s="15" t="s">
        <v>120</v>
      </c>
      <c r="B22" s="28">
        <v>51.816716999999997</v>
      </c>
      <c r="C22" s="28">
        <v>-1.293917</v>
      </c>
      <c r="D22" t="s">
        <v>135</v>
      </c>
      <c r="E22" s="15" t="s">
        <v>79</v>
      </c>
      <c r="F22" s="15">
        <v>8</v>
      </c>
      <c r="G22" s="15">
        <v>2</v>
      </c>
      <c r="H22" s="15">
        <v>16</v>
      </c>
      <c r="I22" s="15">
        <f t="shared" si="0"/>
        <v>4</v>
      </c>
      <c r="J22" s="15">
        <f t="shared" si="1"/>
        <v>3</v>
      </c>
      <c r="K22" s="15">
        <v>174</v>
      </c>
      <c r="L22" s="15" t="s">
        <v>83</v>
      </c>
      <c r="M22" s="15" t="s">
        <v>89</v>
      </c>
      <c r="N22" s="15" t="s">
        <v>85</v>
      </c>
      <c r="O22" s="15" t="s">
        <v>121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1</v>
      </c>
      <c r="AN22" s="15">
        <v>0</v>
      </c>
      <c r="AO22" s="15">
        <v>0</v>
      </c>
      <c r="AP22" s="15">
        <v>0</v>
      </c>
      <c r="AQ22" s="15">
        <v>0</v>
      </c>
      <c r="AR22" s="15">
        <v>2</v>
      </c>
      <c r="AS22" s="15">
        <v>1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</row>
    <row r="23" spans="1:51" x14ac:dyDescent="0.2">
      <c r="A23" s="15" t="s">
        <v>122</v>
      </c>
      <c r="B23" s="28">
        <v>51.815533000000002</v>
      </c>
      <c r="C23" s="28">
        <v>-1.2947500000000001</v>
      </c>
      <c r="D23" t="s">
        <v>135</v>
      </c>
      <c r="E23" s="15" t="s">
        <v>73</v>
      </c>
      <c r="F23" s="15">
        <v>6</v>
      </c>
      <c r="G23" s="15">
        <v>3</v>
      </c>
      <c r="H23" s="15">
        <v>18</v>
      </c>
      <c r="I23" s="15">
        <f t="shared" si="0"/>
        <v>1</v>
      </c>
      <c r="J23" s="15">
        <f t="shared" si="1"/>
        <v>1</v>
      </c>
      <c r="K23" s="15">
        <v>350</v>
      </c>
      <c r="L23" s="15" t="s">
        <v>97</v>
      </c>
      <c r="M23" s="15" t="s">
        <v>89</v>
      </c>
      <c r="N23" s="15" t="s">
        <v>85</v>
      </c>
      <c r="O23" s="15" t="s">
        <v>121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</row>
    <row r="24" spans="1:51" x14ac:dyDescent="0.2">
      <c r="A24" s="22" t="s">
        <v>123</v>
      </c>
      <c r="B24" s="28">
        <v>51.815832999999998</v>
      </c>
      <c r="C24" s="28">
        <v>-1.29295</v>
      </c>
      <c r="D24" t="s">
        <v>135</v>
      </c>
      <c r="E24" s="15" t="s">
        <v>73</v>
      </c>
      <c r="F24" s="15">
        <v>6</v>
      </c>
      <c r="G24" s="15">
        <v>3</v>
      </c>
      <c r="H24" s="15">
        <v>18</v>
      </c>
      <c r="I24" s="15">
        <f t="shared" si="0"/>
        <v>0</v>
      </c>
      <c r="J24" s="15">
        <f t="shared" si="1"/>
        <v>0</v>
      </c>
      <c r="K24" s="15">
        <v>161</v>
      </c>
      <c r="L24" s="15" t="s">
        <v>124</v>
      </c>
      <c r="M24" s="15" t="s">
        <v>76</v>
      </c>
      <c r="N24" s="15" t="s">
        <v>85</v>
      </c>
      <c r="O24" s="15" t="s">
        <v>121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</row>
    <row r="25" spans="1:51" x14ac:dyDescent="0.2">
      <c r="A25" s="15" t="s">
        <v>125</v>
      </c>
      <c r="B25" s="28">
        <v>51.815133000000003</v>
      </c>
      <c r="C25" s="28">
        <v>-1.2927</v>
      </c>
      <c r="D25" t="s">
        <v>135</v>
      </c>
      <c r="E25" s="15" t="s">
        <v>79</v>
      </c>
      <c r="F25" s="15">
        <v>8</v>
      </c>
      <c r="G25" s="15">
        <v>3</v>
      </c>
      <c r="H25" s="15">
        <v>24</v>
      </c>
      <c r="I25" s="15">
        <f t="shared" si="0"/>
        <v>3</v>
      </c>
      <c r="J25" s="15">
        <f t="shared" si="1"/>
        <v>3</v>
      </c>
      <c r="K25" s="15">
        <v>287</v>
      </c>
      <c r="L25" s="15" t="s">
        <v>92</v>
      </c>
      <c r="M25" s="15" t="s">
        <v>81</v>
      </c>
      <c r="N25" s="15" t="s">
        <v>89</v>
      </c>
      <c r="O25" s="15" t="s">
        <v>121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1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1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1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</row>
    <row r="26" spans="1:51" x14ac:dyDescent="0.2">
      <c r="A26" s="15" t="s">
        <v>126</v>
      </c>
      <c r="B26" s="28">
        <v>51.815100000000001</v>
      </c>
      <c r="C26" s="28">
        <v>-1.2924329999999999</v>
      </c>
      <c r="D26" t="s">
        <v>135</v>
      </c>
      <c r="E26" s="15" t="s">
        <v>79</v>
      </c>
      <c r="F26" s="15">
        <v>8</v>
      </c>
      <c r="G26" s="15">
        <v>3</v>
      </c>
      <c r="H26" s="15">
        <v>24</v>
      </c>
      <c r="I26" s="15">
        <f t="shared" si="0"/>
        <v>10</v>
      </c>
      <c r="J26" s="15">
        <f t="shared" si="1"/>
        <v>4</v>
      </c>
      <c r="K26" s="15">
        <v>117</v>
      </c>
      <c r="L26" s="15" t="s">
        <v>80</v>
      </c>
      <c r="M26" s="15" t="s">
        <v>81</v>
      </c>
      <c r="N26" s="15" t="s">
        <v>89</v>
      </c>
      <c r="O26" s="15" t="s">
        <v>113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1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1</v>
      </c>
      <c r="AT26" s="15">
        <v>0</v>
      </c>
      <c r="AU26" s="15">
        <v>0</v>
      </c>
      <c r="AV26" s="15">
        <v>0</v>
      </c>
      <c r="AW26" s="15">
        <v>0</v>
      </c>
      <c r="AX26" s="15">
        <v>3</v>
      </c>
      <c r="AY26" s="15">
        <v>0</v>
      </c>
    </row>
    <row r="27" spans="1:51" x14ac:dyDescent="0.2">
      <c r="A27" s="15" t="s">
        <v>127</v>
      </c>
      <c r="B27" s="28">
        <v>51.812600000000003</v>
      </c>
      <c r="C27" s="28">
        <v>-1.293833</v>
      </c>
      <c r="D27" t="s">
        <v>135</v>
      </c>
      <c r="E27" s="15" t="s">
        <v>79</v>
      </c>
      <c r="F27" s="15">
        <v>8</v>
      </c>
      <c r="G27" s="15">
        <v>3</v>
      </c>
      <c r="H27" s="15">
        <v>24</v>
      </c>
      <c r="I27" s="15">
        <f t="shared" si="0"/>
        <v>24</v>
      </c>
      <c r="J27" s="15">
        <f t="shared" si="1"/>
        <v>3</v>
      </c>
      <c r="K27" s="15">
        <v>102</v>
      </c>
      <c r="L27" s="15" t="s">
        <v>88</v>
      </c>
      <c r="M27" s="15" t="s">
        <v>89</v>
      </c>
      <c r="N27" s="15" t="s">
        <v>75</v>
      </c>
      <c r="O27" s="15" t="s">
        <v>113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22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1</v>
      </c>
      <c r="AU27" s="15">
        <v>1</v>
      </c>
      <c r="AV27" s="15">
        <v>0</v>
      </c>
      <c r="AW27" s="15">
        <v>0</v>
      </c>
      <c r="AX27" s="15">
        <v>0</v>
      </c>
      <c r="AY27" s="15">
        <v>0</v>
      </c>
    </row>
    <row r="28" spans="1:51" x14ac:dyDescent="0.2">
      <c r="A28" s="15" t="s">
        <v>128</v>
      </c>
      <c r="B28" s="28">
        <v>51.809583000000003</v>
      </c>
      <c r="C28" s="28">
        <v>-1.2956669999999999</v>
      </c>
      <c r="D28" t="s">
        <v>135</v>
      </c>
      <c r="E28" s="15" t="s">
        <v>79</v>
      </c>
      <c r="F28" s="15">
        <v>8</v>
      </c>
      <c r="G28" s="15">
        <v>3</v>
      </c>
      <c r="H28" s="15">
        <v>24</v>
      </c>
      <c r="I28" s="15">
        <f t="shared" si="0"/>
        <v>38</v>
      </c>
      <c r="J28" s="15">
        <f t="shared" si="1"/>
        <v>6</v>
      </c>
      <c r="K28" s="15">
        <v>98</v>
      </c>
      <c r="L28" s="15" t="s">
        <v>88</v>
      </c>
      <c r="M28" s="15" t="s">
        <v>75</v>
      </c>
      <c r="N28" s="15" t="s">
        <v>75</v>
      </c>
      <c r="O28" s="15" t="s">
        <v>113</v>
      </c>
      <c r="P28" s="15">
        <v>0</v>
      </c>
      <c r="Q28" s="15">
        <v>0</v>
      </c>
      <c r="R28" s="15">
        <v>0</v>
      </c>
      <c r="S28" s="15">
        <v>1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1</v>
      </c>
      <c r="AF28" s="15">
        <v>0</v>
      </c>
      <c r="AG28" s="15">
        <v>32</v>
      </c>
      <c r="AH28" s="15">
        <v>0</v>
      </c>
      <c r="AI28" s="15">
        <v>0</v>
      </c>
      <c r="AJ28" s="15">
        <v>1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1</v>
      </c>
      <c r="AT28" s="15">
        <v>2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</row>
    <row r="29" spans="1:51" x14ac:dyDescent="0.2">
      <c r="A29" s="15" t="s">
        <v>129</v>
      </c>
      <c r="B29" s="28">
        <v>51.807749999999999</v>
      </c>
      <c r="C29" s="28">
        <v>-1.29295</v>
      </c>
      <c r="D29" t="s">
        <v>135</v>
      </c>
      <c r="E29" s="15" t="s">
        <v>79</v>
      </c>
      <c r="F29" s="15">
        <v>8</v>
      </c>
      <c r="G29" s="15">
        <v>2</v>
      </c>
      <c r="H29" s="15">
        <v>16</v>
      </c>
      <c r="I29" s="15">
        <f t="shared" si="0"/>
        <v>24</v>
      </c>
      <c r="J29" s="15">
        <f t="shared" si="1"/>
        <v>7</v>
      </c>
      <c r="K29" s="15">
        <v>285</v>
      </c>
      <c r="L29" s="15" t="s">
        <v>92</v>
      </c>
      <c r="M29" s="15" t="s">
        <v>75</v>
      </c>
      <c r="N29" s="15" t="s">
        <v>89</v>
      </c>
      <c r="O29" s="15" t="s">
        <v>113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14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2</v>
      </c>
      <c r="AO29" s="15">
        <v>0</v>
      </c>
      <c r="AP29" s="15">
        <v>0</v>
      </c>
      <c r="AQ29" s="15">
        <v>1</v>
      </c>
      <c r="AR29" s="15">
        <v>0</v>
      </c>
      <c r="AS29" s="15">
        <v>4</v>
      </c>
      <c r="AT29" s="15">
        <v>1</v>
      </c>
      <c r="AU29" s="15">
        <v>0</v>
      </c>
      <c r="AV29" s="15">
        <v>1</v>
      </c>
      <c r="AW29" s="15">
        <v>0</v>
      </c>
      <c r="AX29" s="15">
        <v>1</v>
      </c>
      <c r="AY29" s="15">
        <v>0</v>
      </c>
    </row>
    <row r="30" spans="1:51" x14ac:dyDescent="0.2">
      <c r="A30" s="15" t="s">
        <v>130</v>
      </c>
      <c r="B30" s="28">
        <v>51.808599999999998</v>
      </c>
      <c r="C30" s="28">
        <v>-1.288683</v>
      </c>
      <c r="D30" t="s">
        <v>135</v>
      </c>
      <c r="E30" s="15" t="s">
        <v>73</v>
      </c>
      <c r="F30" s="15">
        <v>6</v>
      </c>
      <c r="G30" s="15">
        <v>3</v>
      </c>
      <c r="H30" s="15">
        <v>18</v>
      </c>
      <c r="I30" s="15">
        <f t="shared" si="0"/>
        <v>29</v>
      </c>
      <c r="J30" s="15">
        <f t="shared" si="1"/>
        <v>3</v>
      </c>
      <c r="K30" s="15">
        <v>274</v>
      </c>
      <c r="L30" s="15" t="s">
        <v>92</v>
      </c>
      <c r="M30" s="15" t="s">
        <v>76</v>
      </c>
      <c r="N30" s="15" t="s">
        <v>89</v>
      </c>
      <c r="O30" s="15" t="s">
        <v>113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26</v>
      </c>
      <c r="AH30" s="15">
        <v>0</v>
      </c>
      <c r="AI30" s="15">
        <v>0</v>
      </c>
      <c r="AJ30" s="15">
        <v>1</v>
      </c>
      <c r="AK30" s="15">
        <v>0</v>
      </c>
      <c r="AL30" s="15">
        <v>0</v>
      </c>
      <c r="AM30" s="15">
        <v>2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</row>
    <row r="31" spans="1:51" x14ac:dyDescent="0.2">
      <c r="A31" s="15" t="s">
        <v>131</v>
      </c>
      <c r="B31" s="28">
        <v>51.811216999999999</v>
      </c>
      <c r="C31" s="28">
        <v>-1.2882830000000001</v>
      </c>
      <c r="D31" t="s">
        <v>135</v>
      </c>
      <c r="E31" s="15" t="s">
        <v>73</v>
      </c>
      <c r="F31" s="15">
        <v>6</v>
      </c>
      <c r="G31" s="15">
        <v>3</v>
      </c>
      <c r="H31" s="15">
        <v>18</v>
      </c>
      <c r="I31" s="15">
        <f t="shared" si="0"/>
        <v>39</v>
      </c>
      <c r="J31" s="15">
        <f t="shared" si="1"/>
        <v>5</v>
      </c>
      <c r="K31" s="15">
        <v>278</v>
      </c>
      <c r="L31" s="15" t="s">
        <v>92</v>
      </c>
      <c r="M31" s="15" t="s">
        <v>76</v>
      </c>
      <c r="N31" s="15" t="s">
        <v>75</v>
      </c>
      <c r="O31" s="15" t="s">
        <v>113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4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1</v>
      </c>
      <c r="AG31" s="15">
        <v>29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1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4</v>
      </c>
      <c r="AY31" s="15">
        <v>0</v>
      </c>
    </row>
    <row r="32" spans="1:51" x14ac:dyDescent="0.2">
      <c r="A32" s="15" t="s">
        <v>72</v>
      </c>
      <c r="B32" s="28">
        <v>51.822099999999999</v>
      </c>
      <c r="C32" s="28">
        <v>-1.2992330000000001</v>
      </c>
      <c r="D32" t="s">
        <v>136</v>
      </c>
      <c r="E32" s="15" t="s">
        <v>73</v>
      </c>
      <c r="F32" s="15">
        <v>6</v>
      </c>
      <c r="G32" s="15">
        <v>3</v>
      </c>
      <c r="H32" s="15">
        <v>18</v>
      </c>
      <c r="I32" s="15">
        <f t="shared" si="0"/>
        <v>0</v>
      </c>
      <c r="J32" s="15">
        <f t="shared" si="1"/>
        <v>0</v>
      </c>
      <c r="K32" s="20">
        <v>225</v>
      </c>
      <c r="L32" s="15" t="s">
        <v>74</v>
      </c>
      <c r="M32" s="15" t="s">
        <v>75</v>
      </c>
      <c r="N32" s="15" t="s">
        <v>76</v>
      </c>
      <c r="O32" s="15" t="s">
        <v>77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</row>
    <row r="33" spans="1:51" x14ac:dyDescent="0.2">
      <c r="A33" s="15" t="s">
        <v>78</v>
      </c>
      <c r="B33" s="28">
        <v>51.822516999999998</v>
      </c>
      <c r="C33" s="28">
        <v>-1.3022499999999999</v>
      </c>
      <c r="D33" t="s">
        <v>136</v>
      </c>
      <c r="E33" s="15" t="s">
        <v>79</v>
      </c>
      <c r="F33" s="15">
        <v>8</v>
      </c>
      <c r="G33" s="15">
        <v>3</v>
      </c>
      <c r="H33" s="15">
        <v>24</v>
      </c>
      <c r="I33" s="15">
        <f t="shared" si="0"/>
        <v>10</v>
      </c>
      <c r="J33" s="15">
        <f t="shared" si="1"/>
        <v>4</v>
      </c>
      <c r="K33" s="15">
        <v>150</v>
      </c>
      <c r="L33" s="15" t="s">
        <v>80</v>
      </c>
      <c r="M33" s="15" t="s">
        <v>81</v>
      </c>
      <c r="N33" s="15" t="s">
        <v>75</v>
      </c>
      <c r="O33" s="15" t="s">
        <v>77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7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1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1</v>
      </c>
      <c r="AU33" s="15">
        <v>0</v>
      </c>
      <c r="AV33" s="15">
        <v>0</v>
      </c>
      <c r="AW33" s="15">
        <v>0</v>
      </c>
      <c r="AX33" s="15">
        <v>1</v>
      </c>
      <c r="AY33" s="15">
        <v>0</v>
      </c>
    </row>
    <row r="34" spans="1:51" x14ac:dyDescent="0.2">
      <c r="A34" s="15" t="s">
        <v>82</v>
      </c>
      <c r="B34" s="28">
        <v>51.823616999999999</v>
      </c>
      <c r="C34" s="28">
        <v>-1.3056000000000001</v>
      </c>
      <c r="D34" t="s">
        <v>136</v>
      </c>
      <c r="E34" s="15" t="s">
        <v>73</v>
      </c>
      <c r="F34" s="15">
        <v>6</v>
      </c>
      <c r="G34" s="15">
        <v>3</v>
      </c>
      <c r="H34" s="15">
        <v>18</v>
      </c>
      <c r="I34" s="15">
        <f t="shared" si="0"/>
        <v>4</v>
      </c>
      <c r="J34" s="15">
        <f t="shared" si="1"/>
        <v>1</v>
      </c>
      <c r="K34" s="15">
        <v>179</v>
      </c>
      <c r="L34" s="15" t="s">
        <v>83</v>
      </c>
      <c r="M34" s="15" t="s">
        <v>84</v>
      </c>
      <c r="N34" s="15" t="s">
        <v>85</v>
      </c>
      <c r="O34" s="15" t="s">
        <v>86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4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</row>
    <row r="35" spans="1:51" x14ac:dyDescent="0.2">
      <c r="A35" s="15" t="s">
        <v>87</v>
      </c>
      <c r="B35" s="28">
        <v>51.822032999999998</v>
      </c>
      <c r="C35" s="28">
        <v>-1.30945</v>
      </c>
      <c r="D35" t="s">
        <v>136</v>
      </c>
      <c r="E35" s="15" t="s">
        <v>73</v>
      </c>
      <c r="F35" s="15">
        <v>6</v>
      </c>
      <c r="G35" s="15">
        <v>3</v>
      </c>
      <c r="H35" s="15">
        <v>18</v>
      </c>
      <c r="I35" s="15">
        <f t="shared" si="0"/>
        <v>5</v>
      </c>
      <c r="J35" s="15">
        <f t="shared" si="1"/>
        <v>3</v>
      </c>
      <c r="K35" s="15">
        <v>88</v>
      </c>
      <c r="L35" s="15" t="s">
        <v>88</v>
      </c>
      <c r="M35" s="15" t="s">
        <v>81</v>
      </c>
      <c r="N35" s="15" t="s">
        <v>89</v>
      </c>
      <c r="O35" s="15" t="s">
        <v>86</v>
      </c>
      <c r="P35" s="15">
        <v>0</v>
      </c>
      <c r="Q35" s="15">
        <v>0</v>
      </c>
      <c r="R35" s="15">
        <v>0</v>
      </c>
      <c r="S35" s="15">
        <v>3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1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1</v>
      </c>
      <c r="AY35" s="15">
        <v>0</v>
      </c>
    </row>
    <row r="36" spans="1:51" x14ac:dyDescent="0.2">
      <c r="A36" s="15" t="s">
        <v>90</v>
      </c>
      <c r="B36" s="28">
        <v>51.820900000000002</v>
      </c>
      <c r="C36" s="28">
        <v>-1.3093669999999999</v>
      </c>
      <c r="D36" t="s">
        <v>136</v>
      </c>
      <c r="E36" s="15" t="s">
        <v>91</v>
      </c>
      <c r="F36" s="15">
        <v>2</v>
      </c>
      <c r="G36" s="15">
        <v>2</v>
      </c>
      <c r="H36" s="15">
        <v>4</v>
      </c>
      <c r="I36" s="15">
        <f t="shared" si="0"/>
        <v>12</v>
      </c>
      <c r="J36" s="15">
        <f t="shared" si="1"/>
        <v>5</v>
      </c>
      <c r="K36" s="15">
        <v>255</v>
      </c>
      <c r="L36" s="15" t="s">
        <v>92</v>
      </c>
      <c r="M36" s="15" t="s">
        <v>85</v>
      </c>
      <c r="N36" s="15" t="s">
        <v>84</v>
      </c>
      <c r="O36" s="15" t="s">
        <v>86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2</v>
      </c>
      <c r="W36" s="15">
        <v>0</v>
      </c>
      <c r="X36" s="15">
        <v>6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2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1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</row>
    <row r="37" spans="1:51" x14ac:dyDescent="0.2">
      <c r="A37" s="15" t="s">
        <v>93</v>
      </c>
      <c r="B37" s="28">
        <v>51.818367000000002</v>
      </c>
      <c r="C37" s="28">
        <v>-1.3125830000000001</v>
      </c>
      <c r="D37" t="s">
        <v>136</v>
      </c>
      <c r="E37" s="15" t="s">
        <v>73</v>
      </c>
      <c r="F37" s="15">
        <v>6</v>
      </c>
      <c r="G37" s="15">
        <v>2</v>
      </c>
      <c r="H37" s="15">
        <v>12</v>
      </c>
      <c r="I37" s="15">
        <f t="shared" si="0"/>
        <v>11</v>
      </c>
      <c r="J37" s="15">
        <f t="shared" si="1"/>
        <v>3</v>
      </c>
      <c r="K37" s="15">
        <v>255</v>
      </c>
      <c r="L37" s="15" t="s">
        <v>92</v>
      </c>
      <c r="M37" s="15" t="s">
        <v>75</v>
      </c>
      <c r="N37" s="15" t="s">
        <v>85</v>
      </c>
      <c r="O37" s="15" t="s">
        <v>94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2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7</v>
      </c>
      <c r="AU37" s="15">
        <v>0</v>
      </c>
      <c r="AV37" s="15">
        <v>0</v>
      </c>
      <c r="AW37" s="15">
        <v>0</v>
      </c>
      <c r="AX37" s="15">
        <v>2</v>
      </c>
      <c r="AY37" s="15">
        <v>0</v>
      </c>
    </row>
    <row r="38" spans="1:51" x14ac:dyDescent="0.2">
      <c r="A38" s="15" t="s">
        <v>95</v>
      </c>
      <c r="B38" s="28">
        <v>51.817667</v>
      </c>
      <c r="C38" s="28">
        <v>-1.314683</v>
      </c>
      <c r="D38" t="s">
        <v>136</v>
      </c>
      <c r="E38" s="15" t="s">
        <v>96</v>
      </c>
      <c r="F38" s="15">
        <v>4</v>
      </c>
      <c r="G38" s="15">
        <v>3</v>
      </c>
      <c r="H38" s="15">
        <v>12</v>
      </c>
      <c r="I38" s="15">
        <f t="shared" si="0"/>
        <v>4</v>
      </c>
      <c r="J38" s="15">
        <f t="shared" si="1"/>
        <v>3</v>
      </c>
      <c r="K38" s="15">
        <v>2</v>
      </c>
      <c r="L38" s="15" t="s">
        <v>97</v>
      </c>
      <c r="M38" s="15" t="s">
        <v>84</v>
      </c>
      <c r="N38" s="15" t="s">
        <v>84</v>
      </c>
      <c r="O38" s="15" t="s">
        <v>94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2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1</v>
      </c>
      <c r="AU38" s="15">
        <v>0</v>
      </c>
      <c r="AV38" s="15">
        <v>0</v>
      </c>
      <c r="AW38" s="15">
        <v>0</v>
      </c>
      <c r="AX38" s="15">
        <v>0</v>
      </c>
      <c r="AY38" s="15">
        <v>1</v>
      </c>
    </row>
    <row r="39" spans="1:51" x14ac:dyDescent="0.2">
      <c r="A39" s="15" t="s">
        <v>98</v>
      </c>
      <c r="B39" s="28">
        <v>51.817332999999998</v>
      </c>
      <c r="C39" s="28">
        <v>-1.3145</v>
      </c>
      <c r="D39" t="s">
        <v>136</v>
      </c>
      <c r="E39" s="15" t="s">
        <v>73</v>
      </c>
      <c r="F39" s="15">
        <v>6</v>
      </c>
      <c r="G39" s="15">
        <v>3</v>
      </c>
      <c r="H39" s="15">
        <v>18</v>
      </c>
      <c r="I39" s="15">
        <f t="shared" si="0"/>
        <v>10</v>
      </c>
      <c r="J39" s="15">
        <f t="shared" si="1"/>
        <v>2</v>
      </c>
      <c r="K39" s="15">
        <v>171</v>
      </c>
      <c r="L39" s="15" t="s">
        <v>83</v>
      </c>
      <c r="M39" s="15" t="s">
        <v>81</v>
      </c>
      <c r="N39" s="15" t="s">
        <v>89</v>
      </c>
      <c r="O39" s="15" t="s">
        <v>99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7</v>
      </c>
      <c r="AT39" s="15">
        <v>0</v>
      </c>
      <c r="AU39" s="15">
        <v>0</v>
      </c>
      <c r="AV39" s="15">
        <v>0</v>
      </c>
      <c r="AW39" s="15">
        <v>0</v>
      </c>
      <c r="AX39" s="15">
        <v>3</v>
      </c>
      <c r="AY39" s="15">
        <v>0</v>
      </c>
    </row>
    <row r="40" spans="1:51" x14ac:dyDescent="0.2">
      <c r="A40" s="15" t="s">
        <v>100</v>
      </c>
      <c r="B40" s="28">
        <v>51.816682999999998</v>
      </c>
      <c r="C40" s="28">
        <v>-1.31325</v>
      </c>
      <c r="D40" t="s">
        <v>136</v>
      </c>
      <c r="E40" s="15" t="s">
        <v>73</v>
      </c>
      <c r="F40" s="15">
        <v>6</v>
      </c>
      <c r="G40" s="15">
        <v>2</v>
      </c>
      <c r="H40" s="15">
        <v>12</v>
      </c>
      <c r="I40" s="15">
        <f t="shared" si="0"/>
        <v>1</v>
      </c>
      <c r="J40" s="15">
        <f t="shared" si="1"/>
        <v>1</v>
      </c>
      <c r="K40" s="15">
        <v>268</v>
      </c>
      <c r="L40" s="15" t="s">
        <v>92</v>
      </c>
      <c r="M40" s="15" t="s">
        <v>75</v>
      </c>
      <c r="N40" s="15" t="s">
        <v>89</v>
      </c>
      <c r="O40" s="15" t="s">
        <v>94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1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</row>
    <row r="41" spans="1:51" x14ac:dyDescent="0.2">
      <c r="A41" s="15" t="s">
        <v>101</v>
      </c>
      <c r="B41" s="28">
        <v>51.815100000000001</v>
      </c>
      <c r="C41" s="28">
        <v>-1.313367</v>
      </c>
      <c r="D41" t="s">
        <v>136</v>
      </c>
      <c r="E41" s="15" t="s">
        <v>102</v>
      </c>
      <c r="F41" s="15">
        <v>1</v>
      </c>
      <c r="G41" s="15">
        <v>3</v>
      </c>
      <c r="H41" s="15">
        <v>3</v>
      </c>
      <c r="I41" s="15">
        <f t="shared" si="0"/>
        <v>0</v>
      </c>
      <c r="J41" s="15">
        <f t="shared" si="1"/>
        <v>0</v>
      </c>
      <c r="K41" s="15">
        <v>333</v>
      </c>
      <c r="L41" s="15" t="s">
        <v>103</v>
      </c>
      <c r="M41" s="15" t="s">
        <v>104</v>
      </c>
      <c r="N41" s="15" t="s">
        <v>84</v>
      </c>
      <c r="O41" s="15" t="s">
        <v>94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</row>
    <row r="42" spans="1:51" x14ac:dyDescent="0.2">
      <c r="A42" s="15" t="s">
        <v>105</v>
      </c>
      <c r="B42" s="28">
        <v>51.817749999999997</v>
      </c>
      <c r="C42" s="28">
        <v>-1.310883</v>
      </c>
      <c r="D42" t="s">
        <v>136</v>
      </c>
      <c r="E42" s="15" t="s">
        <v>96</v>
      </c>
      <c r="F42" s="15">
        <v>4</v>
      </c>
      <c r="G42" s="15">
        <v>3</v>
      </c>
      <c r="H42" s="15">
        <v>12</v>
      </c>
      <c r="I42" s="15">
        <f t="shared" si="0"/>
        <v>1</v>
      </c>
      <c r="J42" s="15">
        <f t="shared" si="1"/>
        <v>1</v>
      </c>
      <c r="K42" s="15">
        <v>0</v>
      </c>
      <c r="L42" s="15" t="s">
        <v>97</v>
      </c>
      <c r="M42" s="15" t="s">
        <v>85</v>
      </c>
      <c r="N42" s="15" t="s">
        <v>84</v>
      </c>
      <c r="O42" s="15" t="s">
        <v>94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1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</row>
    <row r="43" spans="1:51" x14ac:dyDescent="0.2">
      <c r="A43" s="15" t="s">
        <v>106</v>
      </c>
      <c r="B43" s="28">
        <v>51.816133000000001</v>
      </c>
      <c r="C43" s="28">
        <v>-1.3091330000000001</v>
      </c>
      <c r="D43" t="s">
        <v>136</v>
      </c>
      <c r="E43" s="15" t="s">
        <v>96</v>
      </c>
      <c r="F43" s="15">
        <v>4</v>
      </c>
      <c r="G43" s="15">
        <v>3</v>
      </c>
      <c r="H43" s="15">
        <v>12</v>
      </c>
      <c r="I43" s="15">
        <f t="shared" si="0"/>
        <v>6</v>
      </c>
      <c r="J43" s="15">
        <f t="shared" si="1"/>
        <v>4</v>
      </c>
      <c r="K43" s="15">
        <v>358</v>
      </c>
      <c r="L43" s="15" t="s">
        <v>97</v>
      </c>
      <c r="M43" s="15" t="s">
        <v>85</v>
      </c>
      <c r="N43" s="15" t="s">
        <v>85</v>
      </c>
      <c r="O43" s="15" t="s">
        <v>94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1</v>
      </c>
      <c r="Y43" s="15">
        <v>0</v>
      </c>
      <c r="Z43" s="15">
        <v>0</v>
      </c>
      <c r="AA43" s="15">
        <v>3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1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1</v>
      </c>
    </row>
    <row r="44" spans="1:51" x14ac:dyDescent="0.2">
      <c r="A44" s="15" t="s">
        <v>107</v>
      </c>
      <c r="B44" s="28">
        <v>51.815100000000001</v>
      </c>
      <c r="C44" s="28">
        <v>-1.307833</v>
      </c>
      <c r="D44" t="s">
        <v>136</v>
      </c>
      <c r="E44" s="15" t="s">
        <v>96</v>
      </c>
      <c r="F44" s="15">
        <v>4</v>
      </c>
      <c r="G44" s="15">
        <v>3</v>
      </c>
      <c r="H44" s="15">
        <v>12</v>
      </c>
      <c r="I44" s="15">
        <f t="shared" si="0"/>
        <v>6</v>
      </c>
      <c r="J44" s="15">
        <f t="shared" si="1"/>
        <v>4</v>
      </c>
      <c r="K44" s="15">
        <v>4</v>
      </c>
      <c r="L44" s="15" t="s">
        <v>97</v>
      </c>
      <c r="M44" s="15" t="s">
        <v>84</v>
      </c>
      <c r="N44" s="15" t="s">
        <v>84</v>
      </c>
      <c r="O44" s="15" t="s">
        <v>108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0</v>
      </c>
      <c r="AE44" s="15">
        <v>2</v>
      </c>
      <c r="AF44" s="15">
        <v>0</v>
      </c>
      <c r="AG44" s="15">
        <v>2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1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</row>
    <row r="45" spans="1:51" x14ac:dyDescent="0.2">
      <c r="A45" s="15" t="s">
        <v>109</v>
      </c>
      <c r="B45" s="28">
        <v>51.816766999999999</v>
      </c>
      <c r="C45" s="28">
        <v>-1.3060499999999999</v>
      </c>
      <c r="D45" t="s">
        <v>136</v>
      </c>
      <c r="E45" s="15" t="s">
        <v>110</v>
      </c>
      <c r="F45" s="15">
        <v>2</v>
      </c>
      <c r="G45" s="15">
        <v>2</v>
      </c>
      <c r="H45" s="15">
        <v>4</v>
      </c>
      <c r="I45" s="15">
        <f t="shared" si="0"/>
        <v>3</v>
      </c>
      <c r="J45" s="15">
        <f t="shared" si="1"/>
        <v>2</v>
      </c>
      <c r="K45" s="15">
        <v>268</v>
      </c>
      <c r="L45" s="15" t="s">
        <v>92</v>
      </c>
      <c r="M45" s="15" t="s">
        <v>104</v>
      </c>
      <c r="N45" s="15" t="s">
        <v>104</v>
      </c>
      <c r="O45" s="15" t="s">
        <v>99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2</v>
      </c>
      <c r="AT45" s="15">
        <v>1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</row>
    <row r="46" spans="1:51" x14ac:dyDescent="0.2">
      <c r="A46" s="15" t="s">
        <v>111</v>
      </c>
      <c r="B46" s="28">
        <v>51.816682999999998</v>
      </c>
      <c r="C46" s="28">
        <v>-1.305917</v>
      </c>
      <c r="D46" t="s">
        <v>136</v>
      </c>
      <c r="E46" s="15" t="s">
        <v>110</v>
      </c>
      <c r="F46" s="15">
        <v>2</v>
      </c>
      <c r="G46" s="15">
        <v>2</v>
      </c>
      <c r="H46" s="15">
        <v>4</v>
      </c>
      <c r="I46" s="15">
        <f t="shared" si="0"/>
        <v>5</v>
      </c>
      <c r="J46" s="15">
        <f t="shared" si="1"/>
        <v>2</v>
      </c>
      <c r="K46" s="15">
        <v>84</v>
      </c>
      <c r="L46" s="15" t="s">
        <v>88</v>
      </c>
      <c r="M46" s="15" t="s">
        <v>104</v>
      </c>
      <c r="N46" s="15" t="s">
        <v>104</v>
      </c>
      <c r="O46" s="15" t="s">
        <v>99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4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1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</row>
    <row r="47" spans="1:51" x14ac:dyDescent="0.2">
      <c r="A47" s="15" t="s">
        <v>112</v>
      </c>
      <c r="B47" s="28">
        <v>51.815632999999998</v>
      </c>
      <c r="C47" s="28">
        <v>-1.2991999999999999</v>
      </c>
      <c r="D47" t="s">
        <v>136</v>
      </c>
      <c r="E47" s="15" t="s">
        <v>96</v>
      </c>
      <c r="F47" s="15">
        <v>4</v>
      </c>
      <c r="G47" s="15">
        <v>3</v>
      </c>
      <c r="H47" s="15">
        <v>12</v>
      </c>
      <c r="I47" s="15">
        <f t="shared" si="0"/>
        <v>1</v>
      </c>
      <c r="J47" s="15">
        <f t="shared" si="1"/>
        <v>1</v>
      </c>
      <c r="K47" s="15">
        <v>179</v>
      </c>
      <c r="L47" s="15" t="s">
        <v>83</v>
      </c>
      <c r="M47" s="15" t="s">
        <v>84</v>
      </c>
      <c r="N47" s="15" t="s">
        <v>85</v>
      </c>
      <c r="O47" s="15" t="s">
        <v>113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1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</row>
    <row r="48" spans="1:51" x14ac:dyDescent="0.2">
      <c r="A48" s="15" t="s">
        <v>114</v>
      </c>
      <c r="B48" s="28">
        <v>51.815617000000003</v>
      </c>
      <c r="C48" s="28">
        <v>-1.3024169999999999</v>
      </c>
      <c r="D48" t="s">
        <v>136</v>
      </c>
      <c r="E48" s="15" t="s">
        <v>73</v>
      </c>
      <c r="F48" s="15">
        <v>6</v>
      </c>
      <c r="G48" s="15">
        <v>3</v>
      </c>
      <c r="H48" s="15">
        <v>18</v>
      </c>
      <c r="I48" s="15">
        <f t="shared" si="0"/>
        <v>3</v>
      </c>
      <c r="J48" s="15">
        <f t="shared" si="1"/>
        <v>2</v>
      </c>
      <c r="K48" s="15">
        <v>182</v>
      </c>
      <c r="L48" s="15" t="s">
        <v>83</v>
      </c>
      <c r="M48" s="15" t="s">
        <v>85</v>
      </c>
      <c r="N48" s="15" t="s">
        <v>85</v>
      </c>
      <c r="O48" s="15" t="s">
        <v>115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1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2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</row>
    <row r="49" spans="1:51" x14ac:dyDescent="0.2">
      <c r="A49" s="15" t="s">
        <v>116</v>
      </c>
      <c r="B49" s="28">
        <v>51.813732999999999</v>
      </c>
      <c r="C49" s="28">
        <v>-1.3007169999999999</v>
      </c>
      <c r="D49" t="s">
        <v>136</v>
      </c>
      <c r="E49" s="15" t="s">
        <v>96</v>
      </c>
      <c r="F49" s="15">
        <v>4</v>
      </c>
      <c r="G49" s="15">
        <v>2</v>
      </c>
      <c r="H49" s="15">
        <v>8</v>
      </c>
      <c r="I49" s="15">
        <f t="shared" si="0"/>
        <v>0</v>
      </c>
      <c r="J49" s="15">
        <f t="shared" si="1"/>
        <v>0</v>
      </c>
      <c r="K49" s="15">
        <v>165</v>
      </c>
      <c r="L49" s="15" t="s">
        <v>83</v>
      </c>
      <c r="M49" s="15" t="s">
        <v>76</v>
      </c>
      <c r="N49" s="15" t="s">
        <v>84</v>
      </c>
      <c r="O49" s="15" t="s">
        <v>86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</row>
    <row r="50" spans="1:51" x14ac:dyDescent="0.2">
      <c r="A50" s="15" t="s">
        <v>117</v>
      </c>
      <c r="B50" s="28">
        <v>51.810867000000002</v>
      </c>
      <c r="C50" s="28">
        <v>-1.3022</v>
      </c>
      <c r="D50" t="s">
        <v>136</v>
      </c>
      <c r="E50" s="15" t="s">
        <v>79</v>
      </c>
      <c r="F50" s="15">
        <v>8</v>
      </c>
      <c r="G50" s="15">
        <v>3</v>
      </c>
      <c r="H50" s="15">
        <v>24</v>
      </c>
      <c r="I50" s="15">
        <f t="shared" si="0"/>
        <v>3</v>
      </c>
      <c r="J50" s="15">
        <f t="shared" si="1"/>
        <v>3</v>
      </c>
      <c r="K50" s="15">
        <v>314</v>
      </c>
      <c r="L50" s="15" t="s">
        <v>103</v>
      </c>
      <c r="M50" s="15" t="s">
        <v>118</v>
      </c>
      <c r="N50" s="15" t="s">
        <v>75</v>
      </c>
      <c r="O50" s="15" t="s">
        <v>86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1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1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1</v>
      </c>
    </row>
    <row r="51" spans="1:51" x14ac:dyDescent="0.2">
      <c r="A51" s="15" t="s">
        <v>119</v>
      </c>
      <c r="B51" s="28">
        <v>51.818550000000002</v>
      </c>
      <c r="C51" s="28">
        <v>-1.2959670000000001</v>
      </c>
      <c r="D51" t="s">
        <v>136</v>
      </c>
      <c r="E51" s="15" t="s">
        <v>79</v>
      </c>
      <c r="F51" s="15">
        <v>8</v>
      </c>
      <c r="G51" s="15">
        <v>3</v>
      </c>
      <c r="H51" s="15">
        <v>24</v>
      </c>
      <c r="I51" s="15">
        <f t="shared" si="0"/>
        <v>5</v>
      </c>
      <c r="J51" s="15">
        <f t="shared" si="1"/>
        <v>1</v>
      </c>
      <c r="K51" s="15">
        <v>211</v>
      </c>
      <c r="L51" s="15" t="s">
        <v>74</v>
      </c>
      <c r="M51" s="15" t="s">
        <v>118</v>
      </c>
      <c r="N51" s="15" t="s">
        <v>89</v>
      </c>
      <c r="O51" s="15" t="s">
        <v>115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5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</row>
    <row r="52" spans="1:51" x14ac:dyDescent="0.2">
      <c r="A52" s="15" t="s">
        <v>120</v>
      </c>
      <c r="B52" s="28">
        <v>51.816716999999997</v>
      </c>
      <c r="C52" s="28">
        <v>-1.293917</v>
      </c>
      <c r="D52" t="s">
        <v>136</v>
      </c>
      <c r="E52" s="15" t="s">
        <v>79</v>
      </c>
      <c r="F52" s="15">
        <v>8</v>
      </c>
      <c r="G52" s="15">
        <v>2</v>
      </c>
      <c r="H52" s="15">
        <v>16</v>
      </c>
      <c r="I52" s="15">
        <f t="shared" si="0"/>
        <v>1</v>
      </c>
      <c r="J52" s="15">
        <f t="shared" si="1"/>
        <v>1</v>
      </c>
      <c r="K52" s="15">
        <v>174</v>
      </c>
      <c r="L52" s="15" t="s">
        <v>83</v>
      </c>
      <c r="M52" s="15" t="s">
        <v>89</v>
      </c>
      <c r="N52" s="15" t="s">
        <v>85</v>
      </c>
      <c r="O52" s="15" t="s">
        <v>121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1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</row>
    <row r="53" spans="1:51" x14ac:dyDescent="0.2">
      <c r="A53" s="15" t="s">
        <v>122</v>
      </c>
      <c r="B53" s="28">
        <v>51.815533000000002</v>
      </c>
      <c r="C53" s="28">
        <v>-1.2947500000000001</v>
      </c>
      <c r="D53" t="s">
        <v>136</v>
      </c>
      <c r="E53" s="15" t="s">
        <v>73</v>
      </c>
      <c r="F53" s="15">
        <v>6</v>
      </c>
      <c r="G53" s="15">
        <v>3</v>
      </c>
      <c r="H53" s="15">
        <v>18</v>
      </c>
      <c r="I53" s="15">
        <f t="shared" si="0"/>
        <v>0</v>
      </c>
      <c r="J53" s="15">
        <f t="shared" si="1"/>
        <v>0</v>
      </c>
      <c r="K53" s="15">
        <v>350</v>
      </c>
      <c r="L53" s="15" t="s">
        <v>97</v>
      </c>
      <c r="M53" s="15" t="s">
        <v>89</v>
      </c>
      <c r="N53" s="15" t="s">
        <v>85</v>
      </c>
      <c r="O53" s="15" t="s">
        <v>121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</row>
    <row r="54" spans="1:51" x14ac:dyDescent="0.2">
      <c r="A54" s="15" t="s">
        <v>123</v>
      </c>
      <c r="B54" s="28">
        <v>51.815832999999998</v>
      </c>
      <c r="C54" s="28">
        <v>-1.29295</v>
      </c>
      <c r="D54" t="s">
        <v>136</v>
      </c>
      <c r="E54" s="15" t="s">
        <v>73</v>
      </c>
      <c r="F54" s="15">
        <v>6</v>
      </c>
      <c r="G54" s="15">
        <v>3</v>
      </c>
      <c r="H54" s="15">
        <v>18</v>
      </c>
      <c r="I54" s="15">
        <f t="shared" si="0"/>
        <v>4</v>
      </c>
      <c r="J54" s="15">
        <f t="shared" si="1"/>
        <v>2</v>
      </c>
      <c r="K54" s="15">
        <v>161</v>
      </c>
      <c r="L54" s="15" t="s">
        <v>124</v>
      </c>
      <c r="M54" s="15" t="s">
        <v>76</v>
      </c>
      <c r="N54" s="15" t="s">
        <v>85</v>
      </c>
      <c r="O54" s="15" t="s">
        <v>121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1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3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</row>
    <row r="55" spans="1:51" x14ac:dyDescent="0.2">
      <c r="A55" s="15" t="s">
        <v>125</v>
      </c>
      <c r="B55" s="28">
        <v>51.815133000000003</v>
      </c>
      <c r="C55" s="28">
        <v>-1.2927</v>
      </c>
      <c r="D55" t="s">
        <v>136</v>
      </c>
      <c r="E55" s="15" t="s">
        <v>79</v>
      </c>
      <c r="F55" s="15">
        <v>8</v>
      </c>
      <c r="G55" s="15">
        <v>3</v>
      </c>
      <c r="H55" s="15">
        <v>24</v>
      </c>
      <c r="I55" s="15">
        <f t="shared" si="0"/>
        <v>0</v>
      </c>
      <c r="J55" s="15">
        <f t="shared" si="1"/>
        <v>0</v>
      </c>
      <c r="K55" s="15">
        <v>287</v>
      </c>
      <c r="L55" s="15" t="s">
        <v>92</v>
      </c>
      <c r="M55" s="15" t="s">
        <v>81</v>
      </c>
      <c r="N55" s="15" t="s">
        <v>89</v>
      </c>
      <c r="O55" s="15" t="s">
        <v>121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</row>
    <row r="56" spans="1:51" x14ac:dyDescent="0.2">
      <c r="A56" s="15" t="s">
        <v>126</v>
      </c>
      <c r="B56" s="28">
        <v>51.815100000000001</v>
      </c>
      <c r="C56" s="28">
        <v>-1.2924329999999999</v>
      </c>
      <c r="D56" t="s">
        <v>136</v>
      </c>
      <c r="E56" s="15" t="s">
        <v>79</v>
      </c>
      <c r="F56" s="15">
        <v>8</v>
      </c>
      <c r="G56" s="15">
        <v>3</v>
      </c>
      <c r="H56" s="15">
        <v>24</v>
      </c>
      <c r="I56" s="15">
        <f t="shared" si="0"/>
        <v>11</v>
      </c>
      <c r="J56" s="15">
        <f t="shared" si="1"/>
        <v>3</v>
      </c>
      <c r="K56" s="15">
        <v>117</v>
      </c>
      <c r="L56" s="15" t="s">
        <v>80</v>
      </c>
      <c r="M56" s="15" t="s">
        <v>81</v>
      </c>
      <c r="N56" s="15" t="s">
        <v>89</v>
      </c>
      <c r="O56" s="15" t="s">
        <v>113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4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1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6</v>
      </c>
      <c r="AY56" s="15">
        <v>0</v>
      </c>
    </row>
    <row r="57" spans="1:51" x14ac:dyDescent="0.2">
      <c r="A57" s="15" t="s">
        <v>127</v>
      </c>
      <c r="B57" s="28">
        <v>51.812600000000003</v>
      </c>
      <c r="C57" s="28">
        <v>-1.293833</v>
      </c>
      <c r="D57" t="s">
        <v>136</v>
      </c>
      <c r="E57" s="15" t="s">
        <v>79</v>
      </c>
      <c r="F57" s="15">
        <v>8</v>
      </c>
      <c r="G57" s="15">
        <v>3</v>
      </c>
      <c r="H57" s="15">
        <v>24</v>
      </c>
      <c r="I57" s="15">
        <f t="shared" si="0"/>
        <v>1</v>
      </c>
      <c r="J57" s="15">
        <f t="shared" si="1"/>
        <v>1</v>
      </c>
      <c r="K57" s="15">
        <v>102</v>
      </c>
      <c r="L57" s="15" t="s">
        <v>88</v>
      </c>
      <c r="M57" s="15" t="s">
        <v>89</v>
      </c>
      <c r="N57" s="15" t="s">
        <v>75</v>
      </c>
      <c r="O57" s="15" t="s">
        <v>113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1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</row>
    <row r="58" spans="1:51" x14ac:dyDescent="0.2">
      <c r="A58" s="15" t="s">
        <v>128</v>
      </c>
      <c r="B58" s="28">
        <v>51.809583000000003</v>
      </c>
      <c r="C58" s="28">
        <v>-1.2956669999999999</v>
      </c>
      <c r="D58" t="s">
        <v>136</v>
      </c>
      <c r="E58" s="15" t="s">
        <v>79</v>
      </c>
      <c r="F58" s="15">
        <v>8</v>
      </c>
      <c r="G58" s="15">
        <v>3</v>
      </c>
      <c r="H58" s="15">
        <v>24</v>
      </c>
      <c r="I58" s="15">
        <f t="shared" si="0"/>
        <v>0</v>
      </c>
      <c r="J58" s="15">
        <f t="shared" si="1"/>
        <v>0</v>
      </c>
      <c r="K58" s="15">
        <v>98</v>
      </c>
      <c r="L58" s="15" t="s">
        <v>88</v>
      </c>
      <c r="M58" s="15" t="s">
        <v>75</v>
      </c>
      <c r="N58" s="15" t="s">
        <v>75</v>
      </c>
      <c r="O58" s="15" t="s">
        <v>113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</row>
    <row r="59" spans="1:51" x14ac:dyDescent="0.2">
      <c r="A59" s="15" t="s">
        <v>129</v>
      </c>
      <c r="B59" s="28">
        <v>51.807749999999999</v>
      </c>
      <c r="C59" s="28">
        <v>-1.29295</v>
      </c>
      <c r="D59" t="s">
        <v>136</v>
      </c>
      <c r="E59" s="15" t="s">
        <v>79</v>
      </c>
      <c r="F59" s="15">
        <v>8</v>
      </c>
      <c r="G59" s="15">
        <v>2</v>
      </c>
      <c r="H59" s="15">
        <v>16</v>
      </c>
      <c r="I59" s="15">
        <f t="shared" si="0"/>
        <v>2</v>
      </c>
      <c r="J59" s="15">
        <f t="shared" si="1"/>
        <v>1</v>
      </c>
      <c r="K59" s="15">
        <v>285</v>
      </c>
      <c r="L59" s="15" t="s">
        <v>92</v>
      </c>
      <c r="M59" s="15" t="s">
        <v>75</v>
      </c>
      <c r="N59" s="15" t="s">
        <v>89</v>
      </c>
      <c r="O59" s="15" t="s">
        <v>113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2</v>
      </c>
      <c r="AY59" s="15">
        <v>0</v>
      </c>
    </row>
    <row r="60" spans="1:51" x14ac:dyDescent="0.2">
      <c r="A60" s="15" t="s">
        <v>130</v>
      </c>
      <c r="B60" s="28">
        <v>51.808599999999998</v>
      </c>
      <c r="C60" s="28">
        <v>-1.288683</v>
      </c>
      <c r="D60" t="s">
        <v>136</v>
      </c>
      <c r="E60" s="15" t="s">
        <v>73</v>
      </c>
      <c r="F60" s="15">
        <v>6</v>
      </c>
      <c r="G60" s="15">
        <v>3</v>
      </c>
      <c r="H60" s="15">
        <v>18</v>
      </c>
      <c r="I60" s="15">
        <f t="shared" si="0"/>
        <v>4</v>
      </c>
      <c r="J60" s="15">
        <f t="shared" si="1"/>
        <v>4</v>
      </c>
      <c r="K60" s="15">
        <v>274</v>
      </c>
      <c r="L60" s="15" t="s">
        <v>92</v>
      </c>
      <c r="M60" s="15" t="s">
        <v>76</v>
      </c>
      <c r="N60" s="15" t="s">
        <v>89</v>
      </c>
      <c r="O60" s="15" t="s">
        <v>113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1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1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1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1</v>
      </c>
      <c r="AY60" s="15">
        <v>0</v>
      </c>
    </row>
    <row r="61" spans="1:51" x14ac:dyDescent="0.2">
      <c r="A61" s="15" t="s">
        <v>131</v>
      </c>
      <c r="B61" s="28">
        <v>51.811216999999999</v>
      </c>
      <c r="C61" s="28">
        <v>-1.2882830000000001</v>
      </c>
      <c r="D61" t="s">
        <v>136</v>
      </c>
      <c r="E61" s="15" t="s">
        <v>73</v>
      </c>
      <c r="F61" s="15">
        <v>6</v>
      </c>
      <c r="G61" s="15">
        <v>3</v>
      </c>
      <c r="H61" s="15">
        <v>18</v>
      </c>
      <c r="I61" s="15">
        <f t="shared" si="0"/>
        <v>4</v>
      </c>
      <c r="J61" s="15">
        <f t="shared" si="1"/>
        <v>1</v>
      </c>
      <c r="K61" s="15">
        <v>278</v>
      </c>
      <c r="L61" s="15" t="s">
        <v>92</v>
      </c>
      <c r="M61" s="15" t="s">
        <v>76</v>
      </c>
      <c r="N61" s="15" t="s">
        <v>75</v>
      </c>
      <c r="O61" s="15" t="s">
        <v>113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4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</row>
    <row r="62" spans="1:51" x14ac:dyDescent="0.2">
      <c r="A62" s="15" t="s">
        <v>72</v>
      </c>
      <c r="B62" s="28">
        <v>51.822099999999999</v>
      </c>
      <c r="C62" s="28">
        <v>-1.2992330000000001</v>
      </c>
      <c r="D62" t="s">
        <v>137</v>
      </c>
      <c r="E62" s="15" t="s">
        <v>73</v>
      </c>
      <c r="F62" s="15">
        <v>6</v>
      </c>
      <c r="G62" s="15">
        <v>3</v>
      </c>
      <c r="H62" s="15">
        <v>18</v>
      </c>
      <c r="I62" s="15">
        <f t="shared" si="0"/>
        <v>5</v>
      </c>
      <c r="J62" s="15">
        <f t="shared" si="1"/>
        <v>3</v>
      </c>
      <c r="K62" s="20">
        <v>225</v>
      </c>
      <c r="L62" s="15" t="s">
        <v>74</v>
      </c>
      <c r="M62" s="15" t="s">
        <v>75</v>
      </c>
      <c r="N62" s="15" t="s">
        <v>76</v>
      </c>
      <c r="O62" s="15" t="s">
        <v>77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1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1</v>
      </c>
      <c r="AF62" s="15">
        <v>0</v>
      </c>
      <c r="AG62" s="15">
        <v>3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</row>
    <row r="63" spans="1:51" x14ac:dyDescent="0.2">
      <c r="A63" s="15" t="s">
        <v>78</v>
      </c>
      <c r="B63" s="28">
        <v>51.822516999999998</v>
      </c>
      <c r="C63" s="28">
        <v>-1.3022499999999999</v>
      </c>
      <c r="D63" t="s">
        <v>137</v>
      </c>
      <c r="E63" s="15" t="s">
        <v>79</v>
      </c>
      <c r="F63" s="15">
        <v>8</v>
      </c>
      <c r="G63" s="15">
        <v>3</v>
      </c>
      <c r="H63" s="15">
        <v>24</v>
      </c>
      <c r="I63" s="15">
        <f t="shared" si="0"/>
        <v>11</v>
      </c>
      <c r="J63" s="15">
        <f t="shared" si="1"/>
        <v>5</v>
      </c>
      <c r="K63" s="15">
        <v>150</v>
      </c>
      <c r="L63" s="15" t="s">
        <v>80</v>
      </c>
      <c r="M63" s="15" t="s">
        <v>81</v>
      </c>
      <c r="N63" s="15" t="s">
        <v>75</v>
      </c>
      <c r="O63" s="15" t="s">
        <v>77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2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3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4</v>
      </c>
      <c r="AT63" s="15">
        <v>1</v>
      </c>
      <c r="AU63" s="15">
        <v>0</v>
      </c>
      <c r="AV63" s="15">
        <v>0</v>
      </c>
      <c r="AW63" s="15">
        <v>0</v>
      </c>
      <c r="AX63" s="15">
        <v>1</v>
      </c>
      <c r="AY63" s="15">
        <v>0</v>
      </c>
    </row>
    <row r="64" spans="1:51" x14ac:dyDescent="0.2">
      <c r="A64" s="15" t="s">
        <v>82</v>
      </c>
      <c r="B64" s="28">
        <v>51.823616999999999</v>
      </c>
      <c r="C64" s="28">
        <v>-1.3056000000000001</v>
      </c>
      <c r="D64" t="s">
        <v>137</v>
      </c>
      <c r="E64" s="15" t="s">
        <v>73</v>
      </c>
      <c r="F64" s="15">
        <v>6</v>
      </c>
      <c r="G64" s="15">
        <v>3</v>
      </c>
      <c r="H64" s="15">
        <v>18</v>
      </c>
      <c r="I64" s="15">
        <f t="shared" si="0"/>
        <v>4</v>
      </c>
      <c r="J64" s="15">
        <f t="shared" si="1"/>
        <v>2</v>
      </c>
      <c r="K64" s="15">
        <v>179</v>
      </c>
      <c r="L64" s="15" t="s">
        <v>83</v>
      </c>
      <c r="M64" s="15" t="s">
        <v>84</v>
      </c>
      <c r="N64" s="15" t="s">
        <v>85</v>
      </c>
      <c r="O64" s="15" t="s">
        <v>86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1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3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</row>
    <row r="65" spans="1:51" x14ac:dyDescent="0.2">
      <c r="A65" s="15" t="s">
        <v>87</v>
      </c>
      <c r="B65" s="28">
        <v>51.822032999999998</v>
      </c>
      <c r="C65" s="28">
        <v>-1.30945</v>
      </c>
      <c r="D65" t="s">
        <v>137</v>
      </c>
      <c r="E65" s="15" t="s">
        <v>73</v>
      </c>
      <c r="F65" s="15">
        <v>6</v>
      </c>
      <c r="G65" s="15">
        <v>3</v>
      </c>
      <c r="H65" s="15">
        <v>18</v>
      </c>
      <c r="I65" s="15">
        <f t="shared" si="0"/>
        <v>7</v>
      </c>
      <c r="J65" s="15">
        <f t="shared" si="1"/>
        <v>2</v>
      </c>
      <c r="K65" s="15">
        <v>88</v>
      </c>
      <c r="L65" s="15" t="s">
        <v>88</v>
      </c>
      <c r="M65" s="15" t="s">
        <v>81</v>
      </c>
      <c r="N65" s="15" t="s">
        <v>89</v>
      </c>
      <c r="O65" s="15" t="s">
        <v>86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6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1</v>
      </c>
      <c r="AX65" s="15">
        <v>0</v>
      </c>
      <c r="AY65" s="15">
        <v>0</v>
      </c>
    </row>
    <row r="66" spans="1:51" x14ac:dyDescent="0.2">
      <c r="A66" s="15" t="s">
        <v>90</v>
      </c>
      <c r="B66" s="28">
        <v>51.820900000000002</v>
      </c>
      <c r="C66" s="28">
        <v>-1.3093669999999999</v>
      </c>
      <c r="D66" t="s">
        <v>137</v>
      </c>
      <c r="E66" s="15" t="s">
        <v>91</v>
      </c>
      <c r="F66" s="15">
        <v>2</v>
      </c>
      <c r="G66" s="15">
        <v>2</v>
      </c>
      <c r="H66" s="15">
        <v>4</v>
      </c>
      <c r="I66" s="15">
        <f t="shared" si="0"/>
        <v>6</v>
      </c>
      <c r="J66" s="15">
        <f t="shared" si="1"/>
        <v>2</v>
      </c>
      <c r="K66" s="15">
        <v>255</v>
      </c>
      <c r="L66" s="15" t="s">
        <v>92</v>
      </c>
      <c r="M66" s="15" t="s">
        <v>85</v>
      </c>
      <c r="N66" s="15" t="s">
        <v>84</v>
      </c>
      <c r="O66" s="15" t="s">
        <v>86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2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</row>
    <row r="67" spans="1:51" x14ac:dyDescent="0.2">
      <c r="A67" s="15" t="s">
        <v>93</v>
      </c>
      <c r="B67" s="28">
        <v>51.818367000000002</v>
      </c>
      <c r="C67" s="28">
        <v>-1.3125830000000001</v>
      </c>
      <c r="D67" t="s">
        <v>137</v>
      </c>
      <c r="E67" s="15" t="s">
        <v>73</v>
      </c>
      <c r="F67" s="15">
        <v>6</v>
      </c>
      <c r="G67" s="15">
        <v>2</v>
      </c>
      <c r="H67" s="15">
        <v>12</v>
      </c>
      <c r="I67" s="15">
        <f t="shared" ref="I67:I91" si="2">SUM(P67:AY67)</f>
        <v>7</v>
      </c>
      <c r="J67" s="15">
        <f t="shared" ref="J67:J91" si="3">COUNTIF(P67:AY67,"&gt;0")</f>
        <v>4</v>
      </c>
      <c r="K67" s="15">
        <v>255</v>
      </c>
      <c r="L67" s="15" t="s">
        <v>92</v>
      </c>
      <c r="M67" s="15" t="s">
        <v>75</v>
      </c>
      <c r="N67" s="15" t="s">
        <v>85</v>
      </c>
      <c r="O67" s="15" t="s">
        <v>94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1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1</v>
      </c>
      <c r="AT67" s="15">
        <v>3</v>
      </c>
      <c r="AU67" s="15">
        <v>0</v>
      </c>
      <c r="AV67" s="15">
        <v>0</v>
      </c>
      <c r="AW67" s="15">
        <v>2</v>
      </c>
      <c r="AX67" s="15">
        <v>0</v>
      </c>
      <c r="AY67" s="15">
        <v>0</v>
      </c>
    </row>
    <row r="68" spans="1:51" x14ac:dyDescent="0.2">
      <c r="A68" s="15" t="s">
        <v>95</v>
      </c>
      <c r="B68" s="28">
        <v>51.817667</v>
      </c>
      <c r="C68" s="28">
        <v>-1.314683</v>
      </c>
      <c r="D68" t="s">
        <v>137</v>
      </c>
      <c r="E68" s="15" t="s">
        <v>96</v>
      </c>
      <c r="F68" s="15">
        <v>4</v>
      </c>
      <c r="G68" s="15">
        <v>3</v>
      </c>
      <c r="H68" s="15">
        <v>12</v>
      </c>
      <c r="I68" s="15">
        <f t="shared" si="2"/>
        <v>2</v>
      </c>
      <c r="J68" s="15">
        <f t="shared" si="3"/>
        <v>1</v>
      </c>
      <c r="K68" s="15">
        <v>2</v>
      </c>
      <c r="L68" s="15" t="s">
        <v>97</v>
      </c>
      <c r="M68" s="15" t="s">
        <v>84</v>
      </c>
      <c r="N68" s="15" t="s">
        <v>84</v>
      </c>
      <c r="O68" s="15" t="s">
        <v>94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2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</row>
    <row r="69" spans="1:51" x14ac:dyDescent="0.2">
      <c r="A69" s="15" t="s">
        <v>98</v>
      </c>
      <c r="B69" s="28">
        <v>51.817332999999998</v>
      </c>
      <c r="C69" s="28">
        <v>-1.3145</v>
      </c>
      <c r="D69" t="s">
        <v>137</v>
      </c>
      <c r="E69" s="15" t="s">
        <v>73</v>
      </c>
      <c r="F69" s="15">
        <v>6</v>
      </c>
      <c r="G69" s="15">
        <v>3</v>
      </c>
      <c r="H69" s="15">
        <v>18</v>
      </c>
      <c r="I69" s="15">
        <f t="shared" si="2"/>
        <v>43</v>
      </c>
      <c r="J69" s="15">
        <f t="shared" si="3"/>
        <v>2</v>
      </c>
      <c r="K69" s="15">
        <v>171</v>
      </c>
      <c r="L69" s="15" t="s">
        <v>83</v>
      </c>
      <c r="M69" s="15" t="s">
        <v>81</v>
      </c>
      <c r="N69" s="15" t="s">
        <v>89</v>
      </c>
      <c r="O69" s="15" t="s">
        <v>99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1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42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</row>
    <row r="70" spans="1:51" x14ac:dyDescent="0.2">
      <c r="A70" s="22" t="s">
        <v>100</v>
      </c>
      <c r="B70" s="28">
        <v>51.816682999999998</v>
      </c>
      <c r="C70" s="28">
        <v>-1.31325</v>
      </c>
      <c r="D70" t="s">
        <v>137</v>
      </c>
      <c r="E70" s="15" t="s">
        <v>73</v>
      </c>
      <c r="F70" s="15">
        <v>6</v>
      </c>
      <c r="G70" s="15">
        <v>2</v>
      </c>
      <c r="H70" s="15">
        <v>12</v>
      </c>
      <c r="I70" s="15">
        <f t="shared" si="2"/>
        <v>0</v>
      </c>
      <c r="J70" s="15">
        <f t="shared" si="3"/>
        <v>0</v>
      </c>
      <c r="K70" s="15">
        <v>268</v>
      </c>
      <c r="L70" s="15" t="s">
        <v>92</v>
      </c>
      <c r="M70" s="15" t="s">
        <v>75</v>
      </c>
      <c r="N70" s="15" t="s">
        <v>89</v>
      </c>
      <c r="O70" s="15" t="s">
        <v>94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</row>
    <row r="71" spans="1:51" x14ac:dyDescent="0.2">
      <c r="A71" s="15" t="s">
        <v>101</v>
      </c>
      <c r="B71" s="28">
        <v>51.815100000000001</v>
      </c>
      <c r="C71" s="28">
        <v>-1.313367</v>
      </c>
      <c r="D71" t="s">
        <v>137</v>
      </c>
      <c r="E71" s="15" t="s">
        <v>102</v>
      </c>
      <c r="F71" s="15">
        <v>1</v>
      </c>
      <c r="G71" s="15">
        <v>3</v>
      </c>
      <c r="H71" s="15">
        <v>3</v>
      </c>
      <c r="I71" s="15">
        <f t="shared" si="2"/>
        <v>1</v>
      </c>
      <c r="J71" s="15">
        <f t="shared" si="3"/>
        <v>1</v>
      </c>
      <c r="K71" s="15">
        <v>333</v>
      </c>
      <c r="L71" s="15" t="s">
        <v>103</v>
      </c>
      <c r="M71" s="15" t="s">
        <v>104</v>
      </c>
      <c r="N71" s="15" t="s">
        <v>84</v>
      </c>
      <c r="O71" s="15" t="s">
        <v>94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1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</row>
    <row r="72" spans="1:51" x14ac:dyDescent="0.2">
      <c r="A72" s="15" t="s">
        <v>105</v>
      </c>
      <c r="B72" s="28">
        <v>51.817749999999997</v>
      </c>
      <c r="C72" s="28">
        <v>-1.310883</v>
      </c>
      <c r="D72" t="s">
        <v>137</v>
      </c>
      <c r="E72" s="15" t="s">
        <v>96</v>
      </c>
      <c r="F72" s="15">
        <v>4</v>
      </c>
      <c r="G72" s="15">
        <v>3</v>
      </c>
      <c r="H72" s="15">
        <v>12</v>
      </c>
      <c r="I72" s="15">
        <f t="shared" si="2"/>
        <v>5</v>
      </c>
      <c r="J72" s="15">
        <f t="shared" si="3"/>
        <v>2</v>
      </c>
      <c r="K72" s="15">
        <v>0</v>
      </c>
      <c r="L72" s="15" t="s">
        <v>97</v>
      </c>
      <c r="M72" s="15" t="s">
        <v>85</v>
      </c>
      <c r="N72" s="15" t="s">
        <v>84</v>
      </c>
      <c r="O72" s="15" t="s">
        <v>94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4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1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</row>
    <row r="73" spans="1:51" x14ac:dyDescent="0.2">
      <c r="A73" s="15" t="s">
        <v>106</v>
      </c>
      <c r="B73" s="28">
        <v>51.816133000000001</v>
      </c>
      <c r="C73" s="28">
        <v>-1.3091330000000001</v>
      </c>
      <c r="D73" t="s">
        <v>137</v>
      </c>
      <c r="E73" s="15" t="s">
        <v>96</v>
      </c>
      <c r="F73" s="15">
        <v>4</v>
      </c>
      <c r="G73" s="15">
        <v>3</v>
      </c>
      <c r="H73" s="15">
        <v>12</v>
      </c>
      <c r="I73" s="15">
        <f t="shared" si="2"/>
        <v>17</v>
      </c>
      <c r="J73" s="15">
        <f t="shared" si="3"/>
        <v>5</v>
      </c>
      <c r="K73" s="15">
        <v>358</v>
      </c>
      <c r="L73" s="15" t="s">
        <v>97</v>
      </c>
      <c r="M73" s="15" t="s">
        <v>85</v>
      </c>
      <c r="N73" s="15" t="s">
        <v>85</v>
      </c>
      <c r="O73" s="15" t="s">
        <v>94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3</v>
      </c>
      <c r="Y73" s="15">
        <v>0</v>
      </c>
      <c r="Z73" s="15">
        <v>0</v>
      </c>
      <c r="AA73" s="15">
        <v>5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3</v>
      </c>
      <c r="AU73" s="15">
        <v>0</v>
      </c>
      <c r="AV73" s="15">
        <v>0</v>
      </c>
      <c r="AW73" s="15">
        <v>5</v>
      </c>
      <c r="AX73" s="15">
        <v>0</v>
      </c>
      <c r="AY73" s="15">
        <v>0</v>
      </c>
    </row>
    <row r="74" spans="1:51" x14ac:dyDescent="0.2">
      <c r="A74" s="15" t="s">
        <v>107</v>
      </c>
      <c r="B74" s="28">
        <v>51.815100000000001</v>
      </c>
      <c r="C74" s="28">
        <v>-1.307833</v>
      </c>
      <c r="D74" t="s">
        <v>137</v>
      </c>
      <c r="E74" s="15" t="s">
        <v>96</v>
      </c>
      <c r="F74" s="15">
        <v>4</v>
      </c>
      <c r="G74" s="15">
        <v>3</v>
      </c>
      <c r="H74" s="15">
        <v>12</v>
      </c>
      <c r="I74" s="15">
        <f t="shared" si="2"/>
        <v>2</v>
      </c>
      <c r="J74" s="15">
        <f t="shared" si="3"/>
        <v>1</v>
      </c>
      <c r="K74" s="15">
        <v>4</v>
      </c>
      <c r="L74" s="15" t="s">
        <v>97</v>
      </c>
      <c r="M74" s="15" t="s">
        <v>84</v>
      </c>
      <c r="N74" s="15" t="s">
        <v>84</v>
      </c>
      <c r="O74" s="15" t="s">
        <v>108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2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</row>
    <row r="75" spans="1:51" x14ac:dyDescent="0.2">
      <c r="A75" s="15" t="s">
        <v>109</v>
      </c>
      <c r="B75" s="28">
        <v>51.816766999999999</v>
      </c>
      <c r="C75" s="28">
        <v>-1.3060499999999999</v>
      </c>
      <c r="D75" t="s">
        <v>137</v>
      </c>
      <c r="E75" s="15" t="s">
        <v>110</v>
      </c>
      <c r="F75" s="15">
        <v>2</v>
      </c>
      <c r="G75" s="15">
        <v>2</v>
      </c>
      <c r="H75" s="15">
        <v>4</v>
      </c>
      <c r="I75" s="15">
        <f t="shared" si="2"/>
        <v>4</v>
      </c>
      <c r="J75" s="15">
        <f t="shared" si="3"/>
        <v>2</v>
      </c>
      <c r="K75" s="15">
        <v>268</v>
      </c>
      <c r="L75" s="15" t="s">
        <v>92</v>
      </c>
      <c r="M75" s="15" t="s">
        <v>104</v>
      </c>
      <c r="N75" s="15" t="s">
        <v>104</v>
      </c>
      <c r="O75" s="15" t="s">
        <v>99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1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3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</row>
    <row r="76" spans="1:51" x14ac:dyDescent="0.2">
      <c r="A76" s="15" t="s">
        <v>111</v>
      </c>
      <c r="B76" s="28">
        <v>51.816682999999998</v>
      </c>
      <c r="C76" s="28">
        <v>-1.305917</v>
      </c>
      <c r="D76" t="s">
        <v>137</v>
      </c>
      <c r="E76" s="15" t="s">
        <v>110</v>
      </c>
      <c r="F76" s="15">
        <v>2</v>
      </c>
      <c r="G76" s="15">
        <v>2</v>
      </c>
      <c r="H76" s="15">
        <v>4</v>
      </c>
      <c r="I76" s="15">
        <f t="shared" si="2"/>
        <v>1</v>
      </c>
      <c r="J76" s="15">
        <f t="shared" si="3"/>
        <v>1</v>
      </c>
      <c r="K76" s="15">
        <v>84</v>
      </c>
      <c r="L76" s="15" t="s">
        <v>88</v>
      </c>
      <c r="M76" s="15" t="s">
        <v>104</v>
      </c>
      <c r="N76" s="15" t="s">
        <v>104</v>
      </c>
      <c r="O76" s="15" t="s">
        <v>99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1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</row>
    <row r="77" spans="1:51" x14ac:dyDescent="0.2">
      <c r="A77" s="15" t="s">
        <v>112</v>
      </c>
      <c r="B77" s="28">
        <v>51.815632999999998</v>
      </c>
      <c r="C77" s="28">
        <v>-1.2991999999999999</v>
      </c>
      <c r="D77" t="s">
        <v>137</v>
      </c>
      <c r="E77" s="15" t="s">
        <v>96</v>
      </c>
      <c r="F77" s="15">
        <v>4</v>
      </c>
      <c r="G77" s="15">
        <v>3</v>
      </c>
      <c r="H77" s="15">
        <v>12</v>
      </c>
      <c r="I77" s="15">
        <f t="shared" si="2"/>
        <v>3</v>
      </c>
      <c r="J77" s="15">
        <f t="shared" si="3"/>
        <v>2</v>
      </c>
      <c r="K77" s="15">
        <v>179</v>
      </c>
      <c r="L77" s="15" t="s">
        <v>83</v>
      </c>
      <c r="M77" s="15" t="s">
        <v>84</v>
      </c>
      <c r="N77" s="15" t="s">
        <v>85</v>
      </c>
      <c r="O77" s="15" t="s">
        <v>113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1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2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</row>
    <row r="78" spans="1:51" x14ac:dyDescent="0.2">
      <c r="A78" s="15" t="s">
        <v>114</v>
      </c>
      <c r="B78" s="28">
        <v>51.815617000000003</v>
      </c>
      <c r="C78" s="28">
        <v>-1.3024169999999999</v>
      </c>
      <c r="D78" t="s">
        <v>137</v>
      </c>
      <c r="E78" s="15" t="s">
        <v>73</v>
      </c>
      <c r="F78" s="15">
        <v>6</v>
      </c>
      <c r="G78" s="15">
        <v>3</v>
      </c>
      <c r="H78" s="15">
        <v>18</v>
      </c>
      <c r="I78" s="15">
        <f t="shared" si="2"/>
        <v>22</v>
      </c>
      <c r="J78" s="15">
        <f t="shared" si="3"/>
        <v>1</v>
      </c>
      <c r="K78" s="15">
        <v>182</v>
      </c>
      <c r="L78" s="15" t="s">
        <v>83</v>
      </c>
      <c r="M78" s="15" t="s">
        <v>85</v>
      </c>
      <c r="N78" s="15" t="s">
        <v>85</v>
      </c>
      <c r="O78" s="15" t="s">
        <v>115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22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</row>
    <row r="79" spans="1:51" x14ac:dyDescent="0.2">
      <c r="A79" s="15" t="s">
        <v>116</v>
      </c>
      <c r="B79" s="28">
        <v>51.813732999999999</v>
      </c>
      <c r="C79" s="28">
        <v>-1.3007169999999999</v>
      </c>
      <c r="D79" t="s">
        <v>137</v>
      </c>
      <c r="E79" s="15" t="s">
        <v>96</v>
      </c>
      <c r="F79" s="15">
        <v>4</v>
      </c>
      <c r="G79" s="15">
        <v>2</v>
      </c>
      <c r="H79" s="15">
        <v>8</v>
      </c>
      <c r="I79" s="15">
        <f t="shared" si="2"/>
        <v>21</v>
      </c>
      <c r="J79" s="15">
        <f t="shared" si="3"/>
        <v>3</v>
      </c>
      <c r="K79" s="15">
        <v>165</v>
      </c>
      <c r="L79" s="15" t="s">
        <v>83</v>
      </c>
      <c r="M79" s="15" t="s">
        <v>76</v>
      </c>
      <c r="N79" s="15" t="s">
        <v>84</v>
      </c>
      <c r="O79" s="15" t="s">
        <v>86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3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3</v>
      </c>
      <c r="AT79" s="15">
        <v>15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</row>
    <row r="80" spans="1:51" x14ac:dyDescent="0.2">
      <c r="A80" s="15" t="s">
        <v>117</v>
      </c>
      <c r="B80" s="28">
        <v>51.810867000000002</v>
      </c>
      <c r="C80" s="28">
        <v>-1.3022</v>
      </c>
      <c r="D80" t="s">
        <v>137</v>
      </c>
      <c r="E80" s="15" t="s">
        <v>79</v>
      </c>
      <c r="F80" s="15">
        <v>8</v>
      </c>
      <c r="G80" s="15">
        <v>3</v>
      </c>
      <c r="H80" s="15">
        <v>24</v>
      </c>
      <c r="I80" s="15">
        <f t="shared" si="2"/>
        <v>3</v>
      </c>
      <c r="J80" s="15">
        <f t="shared" si="3"/>
        <v>3</v>
      </c>
      <c r="K80" s="15">
        <v>314</v>
      </c>
      <c r="L80" s="15" t="s">
        <v>103</v>
      </c>
      <c r="M80" s="15" t="s">
        <v>118</v>
      </c>
      <c r="N80" s="15" t="s">
        <v>75</v>
      </c>
      <c r="O80" s="15" t="s">
        <v>86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1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1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1</v>
      </c>
      <c r="AY80" s="15">
        <v>0</v>
      </c>
    </row>
    <row r="81" spans="1:51" x14ac:dyDescent="0.2">
      <c r="A81" s="22" t="s">
        <v>119</v>
      </c>
      <c r="B81" s="28">
        <v>51.818550000000002</v>
      </c>
      <c r="C81" s="28">
        <v>-1.2959670000000001</v>
      </c>
      <c r="D81" t="s">
        <v>137</v>
      </c>
      <c r="E81" s="15" t="s">
        <v>79</v>
      </c>
      <c r="F81" s="15">
        <v>8</v>
      </c>
      <c r="G81" s="15">
        <v>3</v>
      </c>
      <c r="H81" s="15">
        <v>24</v>
      </c>
      <c r="I81" s="15">
        <f t="shared" si="2"/>
        <v>0</v>
      </c>
      <c r="J81" s="15">
        <f t="shared" si="3"/>
        <v>0</v>
      </c>
      <c r="K81" s="15">
        <v>211</v>
      </c>
      <c r="L81" s="15" t="s">
        <v>74</v>
      </c>
      <c r="M81" s="15" t="s">
        <v>118</v>
      </c>
      <c r="N81" s="15" t="s">
        <v>89</v>
      </c>
      <c r="O81" s="15" t="s">
        <v>115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</row>
    <row r="82" spans="1:51" x14ac:dyDescent="0.2">
      <c r="A82" s="15" t="s">
        <v>120</v>
      </c>
      <c r="B82" s="28">
        <v>51.816716999999997</v>
      </c>
      <c r="C82" s="28">
        <v>-1.293917</v>
      </c>
      <c r="D82" t="s">
        <v>137</v>
      </c>
      <c r="E82" s="15" t="s">
        <v>79</v>
      </c>
      <c r="F82" s="15">
        <v>8</v>
      </c>
      <c r="G82" s="15">
        <v>2</v>
      </c>
      <c r="H82" s="15">
        <v>16</v>
      </c>
      <c r="I82" s="15">
        <f t="shared" si="2"/>
        <v>1</v>
      </c>
      <c r="J82" s="15">
        <f t="shared" si="3"/>
        <v>1</v>
      </c>
      <c r="K82" s="15">
        <v>174</v>
      </c>
      <c r="L82" s="15" t="s">
        <v>83</v>
      </c>
      <c r="M82" s="15" t="s">
        <v>89</v>
      </c>
      <c r="N82" s="15" t="s">
        <v>85</v>
      </c>
      <c r="O82" s="15" t="s">
        <v>121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1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</row>
    <row r="83" spans="1:51" x14ac:dyDescent="0.2">
      <c r="A83" s="15" t="s">
        <v>122</v>
      </c>
      <c r="B83" s="28">
        <v>51.815533000000002</v>
      </c>
      <c r="C83" s="28">
        <v>-1.2947500000000001</v>
      </c>
      <c r="D83" t="s">
        <v>137</v>
      </c>
      <c r="E83" s="15" t="s">
        <v>73</v>
      </c>
      <c r="F83" s="15">
        <v>6</v>
      </c>
      <c r="G83" s="15">
        <v>3</v>
      </c>
      <c r="H83" s="15">
        <v>18</v>
      </c>
      <c r="I83" s="15">
        <f t="shared" si="2"/>
        <v>4</v>
      </c>
      <c r="J83" s="15">
        <f t="shared" si="3"/>
        <v>1</v>
      </c>
      <c r="K83" s="15">
        <v>350</v>
      </c>
      <c r="L83" s="15" t="s">
        <v>97</v>
      </c>
      <c r="M83" s="15" t="s">
        <v>89</v>
      </c>
      <c r="N83" s="15" t="s">
        <v>85</v>
      </c>
      <c r="O83" s="15" t="s">
        <v>121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4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</row>
    <row r="84" spans="1:51" x14ac:dyDescent="0.2">
      <c r="A84" s="15" t="s">
        <v>123</v>
      </c>
      <c r="B84" s="28">
        <v>51.815832999999998</v>
      </c>
      <c r="C84" s="28">
        <v>-1.29295</v>
      </c>
      <c r="D84" t="s">
        <v>137</v>
      </c>
      <c r="E84" s="15" t="s">
        <v>73</v>
      </c>
      <c r="F84" s="15">
        <v>6</v>
      </c>
      <c r="G84" s="15">
        <v>3</v>
      </c>
      <c r="H84" s="15">
        <v>18</v>
      </c>
      <c r="I84" s="15">
        <f t="shared" si="2"/>
        <v>2</v>
      </c>
      <c r="J84" s="15">
        <f t="shared" si="3"/>
        <v>1</v>
      </c>
      <c r="K84" s="15">
        <v>161</v>
      </c>
      <c r="L84" s="15" t="s">
        <v>124</v>
      </c>
      <c r="M84" s="15" t="s">
        <v>76</v>
      </c>
      <c r="N84" s="15" t="s">
        <v>85</v>
      </c>
      <c r="O84" s="15" t="s">
        <v>121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</row>
    <row r="85" spans="1:51" x14ac:dyDescent="0.2">
      <c r="A85" s="15" t="s">
        <v>125</v>
      </c>
      <c r="B85" s="28">
        <v>51.815133000000003</v>
      </c>
      <c r="C85" s="28">
        <v>-1.2927</v>
      </c>
      <c r="D85" t="s">
        <v>137</v>
      </c>
      <c r="E85" s="15" t="s">
        <v>79</v>
      </c>
      <c r="F85" s="15">
        <v>8</v>
      </c>
      <c r="G85" s="15">
        <v>3</v>
      </c>
      <c r="H85" s="15">
        <v>24</v>
      </c>
      <c r="I85" s="15">
        <f t="shared" si="2"/>
        <v>3</v>
      </c>
      <c r="J85" s="15">
        <f t="shared" si="3"/>
        <v>1</v>
      </c>
      <c r="K85" s="15">
        <v>287</v>
      </c>
      <c r="L85" s="15" t="s">
        <v>92</v>
      </c>
      <c r="M85" s="15" t="s">
        <v>81</v>
      </c>
      <c r="N85" s="15" t="s">
        <v>89</v>
      </c>
      <c r="O85" s="15" t="s">
        <v>121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3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</row>
    <row r="86" spans="1:51" x14ac:dyDescent="0.2">
      <c r="A86" s="15" t="s">
        <v>126</v>
      </c>
      <c r="B86" s="28">
        <v>51.815100000000001</v>
      </c>
      <c r="C86" s="28">
        <v>-1.2924329999999999</v>
      </c>
      <c r="D86" t="s">
        <v>137</v>
      </c>
      <c r="E86" s="15" t="s">
        <v>79</v>
      </c>
      <c r="F86" s="15">
        <v>8</v>
      </c>
      <c r="G86" s="15">
        <v>3</v>
      </c>
      <c r="H86" s="15">
        <v>24</v>
      </c>
      <c r="I86" s="15">
        <f t="shared" si="2"/>
        <v>12</v>
      </c>
      <c r="J86" s="15">
        <f t="shared" si="3"/>
        <v>5</v>
      </c>
      <c r="K86" s="15">
        <v>117</v>
      </c>
      <c r="L86" s="15" t="s">
        <v>80</v>
      </c>
      <c r="M86" s="15" t="s">
        <v>81</v>
      </c>
      <c r="N86" s="15" t="s">
        <v>89</v>
      </c>
      <c r="O86" s="15" t="s">
        <v>113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3</v>
      </c>
      <c r="Y86" s="15">
        <v>1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1</v>
      </c>
      <c r="AR86" s="15">
        <v>0</v>
      </c>
      <c r="AS86" s="15">
        <v>3</v>
      </c>
      <c r="AT86" s="15">
        <v>0</v>
      </c>
      <c r="AU86" s="15">
        <v>0</v>
      </c>
      <c r="AV86" s="15">
        <v>0</v>
      </c>
      <c r="AW86" s="15">
        <v>0</v>
      </c>
      <c r="AX86" s="15">
        <v>4</v>
      </c>
      <c r="AY86" s="15">
        <v>0</v>
      </c>
    </row>
    <row r="87" spans="1:51" x14ac:dyDescent="0.2">
      <c r="A87" s="15" t="s">
        <v>127</v>
      </c>
      <c r="B87" s="28">
        <v>51.812600000000003</v>
      </c>
      <c r="C87" s="28">
        <v>-1.293833</v>
      </c>
      <c r="D87" t="s">
        <v>137</v>
      </c>
      <c r="E87" s="15" t="s">
        <v>79</v>
      </c>
      <c r="F87" s="15">
        <v>8</v>
      </c>
      <c r="G87" s="15">
        <v>3</v>
      </c>
      <c r="H87" s="15">
        <v>24</v>
      </c>
      <c r="I87" s="15">
        <f t="shared" si="2"/>
        <v>7</v>
      </c>
      <c r="J87" s="15">
        <f t="shared" si="3"/>
        <v>2</v>
      </c>
      <c r="K87" s="15">
        <v>102</v>
      </c>
      <c r="L87" s="15" t="s">
        <v>88</v>
      </c>
      <c r="M87" s="15" t="s">
        <v>89</v>
      </c>
      <c r="N87" s="15" t="s">
        <v>75</v>
      </c>
      <c r="O87" s="15" t="s">
        <v>113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6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1</v>
      </c>
      <c r="AX87" s="15">
        <v>0</v>
      </c>
      <c r="AY87" s="15">
        <v>0</v>
      </c>
    </row>
    <row r="88" spans="1:51" x14ac:dyDescent="0.2">
      <c r="A88" s="15" t="s">
        <v>128</v>
      </c>
      <c r="B88" s="28">
        <v>51.809583000000003</v>
      </c>
      <c r="C88" s="28">
        <v>-1.2956669999999999</v>
      </c>
      <c r="D88" t="s">
        <v>137</v>
      </c>
      <c r="E88" s="15" t="s">
        <v>79</v>
      </c>
      <c r="F88" s="15">
        <v>8</v>
      </c>
      <c r="G88" s="15">
        <v>3</v>
      </c>
      <c r="H88" s="15">
        <v>24</v>
      </c>
      <c r="I88" s="15">
        <f t="shared" si="2"/>
        <v>12</v>
      </c>
      <c r="J88" s="15">
        <f t="shared" si="3"/>
        <v>4</v>
      </c>
      <c r="K88" s="15">
        <v>98</v>
      </c>
      <c r="L88" s="15" t="s">
        <v>88</v>
      </c>
      <c r="M88" s="15" t="s">
        <v>75</v>
      </c>
      <c r="N88" s="15" t="s">
        <v>75</v>
      </c>
      <c r="O88" s="15" t="s">
        <v>113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2</v>
      </c>
      <c r="Y88" s="15">
        <v>6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1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3</v>
      </c>
      <c r="AY88" s="15">
        <v>0</v>
      </c>
    </row>
    <row r="89" spans="1:51" x14ac:dyDescent="0.2">
      <c r="A89" s="15" t="s">
        <v>129</v>
      </c>
      <c r="B89" s="28">
        <v>51.807749999999999</v>
      </c>
      <c r="C89" s="28">
        <v>-1.29295</v>
      </c>
      <c r="D89" t="s">
        <v>137</v>
      </c>
      <c r="E89" s="15" t="s">
        <v>79</v>
      </c>
      <c r="F89" s="15">
        <v>8</v>
      </c>
      <c r="G89" s="15">
        <v>2</v>
      </c>
      <c r="H89" s="15">
        <v>16</v>
      </c>
      <c r="I89" s="15">
        <f t="shared" si="2"/>
        <v>4</v>
      </c>
      <c r="J89" s="15">
        <f t="shared" si="3"/>
        <v>2</v>
      </c>
      <c r="K89" s="15">
        <v>285</v>
      </c>
      <c r="L89" s="15" t="s">
        <v>92</v>
      </c>
      <c r="M89" s="15" t="s">
        <v>75</v>
      </c>
      <c r="N89" s="15" t="s">
        <v>89</v>
      </c>
      <c r="O89" s="15" t="s">
        <v>113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3</v>
      </c>
      <c r="Y89" s="15">
        <v>0</v>
      </c>
      <c r="Z89" s="15">
        <v>0</v>
      </c>
      <c r="AA89" s="15">
        <v>0</v>
      </c>
      <c r="AB89" s="15">
        <v>0</v>
      </c>
      <c r="AC89" s="15">
        <v>1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</row>
    <row r="90" spans="1:51" x14ac:dyDescent="0.2">
      <c r="A90" s="15" t="s">
        <v>130</v>
      </c>
      <c r="B90" s="28">
        <v>51.808599999999998</v>
      </c>
      <c r="C90" s="28">
        <v>-1.288683</v>
      </c>
      <c r="D90" t="s">
        <v>137</v>
      </c>
      <c r="E90" s="15" t="s">
        <v>73</v>
      </c>
      <c r="F90" s="15">
        <v>6</v>
      </c>
      <c r="G90" s="15">
        <v>3</v>
      </c>
      <c r="H90" s="15">
        <v>18</v>
      </c>
      <c r="I90" s="15">
        <f t="shared" si="2"/>
        <v>6</v>
      </c>
      <c r="J90" s="15">
        <f t="shared" si="3"/>
        <v>4</v>
      </c>
      <c r="K90" s="15">
        <v>274</v>
      </c>
      <c r="L90" s="15" t="s">
        <v>92</v>
      </c>
      <c r="M90" s="15" t="s">
        <v>76</v>
      </c>
      <c r="N90" s="15" t="s">
        <v>89</v>
      </c>
      <c r="O90" s="15" t="s">
        <v>113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3</v>
      </c>
      <c r="Y90" s="15">
        <v>0</v>
      </c>
      <c r="Z90" s="15">
        <v>1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1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1</v>
      </c>
      <c r="AW90" s="15">
        <v>0</v>
      </c>
      <c r="AX90" s="15">
        <v>0</v>
      </c>
      <c r="AY90" s="15">
        <v>0</v>
      </c>
    </row>
    <row r="91" spans="1:51" x14ac:dyDescent="0.2">
      <c r="A91" s="15" t="s">
        <v>131</v>
      </c>
      <c r="B91" s="28">
        <v>51.811216999999999</v>
      </c>
      <c r="C91" s="28">
        <v>-1.2882830000000001</v>
      </c>
      <c r="D91" t="s">
        <v>137</v>
      </c>
      <c r="E91" s="15" t="s">
        <v>73</v>
      </c>
      <c r="F91" s="15">
        <v>6</v>
      </c>
      <c r="G91" s="15">
        <v>3</v>
      </c>
      <c r="H91" s="15">
        <v>18</v>
      </c>
      <c r="I91" s="15">
        <f t="shared" si="2"/>
        <v>2</v>
      </c>
      <c r="J91" s="15">
        <f t="shared" si="3"/>
        <v>1</v>
      </c>
      <c r="K91" s="15">
        <v>278</v>
      </c>
      <c r="L91" s="15" t="s">
        <v>92</v>
      </c>
      <c r="M91" s="15" t="s">
        <v>76</v>
      </c>
      <c r="N91" s="15" t="s">
        <v>75</v>
      </c>
      <c r="O91" s="15" t="s">
        <v>113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2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1E4C-3766-114A-B743-C61895AAD6F0}">
  <dimension ref="A1:W57"/>
  <sheetViews>
    <sheetView workbookViewId="0">
      <selection activeCell="X4" sqref="X4"/>
    </sheetView>
  </sheetViews>
  <sheetFormatPr baseColWidth="10" defaultRowHeight="16" x14ac:dyDescent="0.2"/>
  <cols>
    <col min="12" max="12" width="4.1640625" bestFit="1" customWidth="1"/>
    <col min="15" max="15" width="18.6640625" bestFit="1" customWidth="1"/>
    <col min="17" max="17" width="18.6640625" bestFit="1" customWidth="1"/>
    <col min="18" max="18" width="13.1640625" bestFit="1" customWidth="1"/>
    <col min="19" max="19" width="27" bestFit="1" customWidth="1"/>
  </cols>
  <sheetData>
    <row r="1" spans="1:23" s="1" customFormat="1" ht="152" x14ac:dyDescent="0.2">
      <c r="A1" s="1" t="s">
        <v>0</v>
      </c>
      <c r="B1" s="1" t="s">
        <v>134</v>
      </c>
      <c r="C1" s="2" t="s">
        <v>1</v>
      </c>
      <c r="D1" s="2" t="s">
        <v>2</v>
      </c>
      <c r="E1" s="3" t="s">
        <v>5</v>
      </c>
      <c r="F1" s="3" t="s">
        <v>6</v>
      </c>
      <c r="G1" s="3" t="s">
        <v>7</v>
      </c>
      <c r="H1" s="3" t="s">
        <v>283</v>
      </c>
      <c r="I1" s="17" t="s">
        <v>323</v>
      </c>
      <c r="J1" s="17" t="s">
        <v>326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4" t="s">
        <v>285</v>
      </c>
      <c r="Q1" s="14" t="s">
        <v>286</v>
      </c>
      <c r="R1" s="14" t="s">
        <v>287</v>
      </c>
      <c r="S1" s="14" t="s">
        <v>288</v>
      </c>
      <c r="T1" s="1" t="s">
        <v>289</v>
      </c>
      <c r="U1" s="1" t="s">
        <v>290</v>
      </c>
      <c r="V1" s="67" t="s">
        <v>291</v>
      </c>
      <c r="W1" s="66" t="s">
        <v>292</v>
      </c>
    </row>
    <row r="2" spans="1:23" x14ac:dyDescent="0.2">
      <c r="A2" s="15" t="s">
        <v>72</v>
      </c>
      <c r="B2" s="15" t="s">
        <v>136</v>
      </c>
      <c r="C2" s="10">
        <v>51.822099999999999</v>
      </c>
      <c r="D2" s="10">
        <v>-1.2992330000000001</v>
      </c>
      <c r="E2">
        <v>6</v>
      </c>
      <c r="F2">
        <v>3</v>
      </c>
      <c r="G2">
        <f t="shared" ref="G2:G57" si="0">E2*F2</f>
        <v>18</v>
      </c>
      <c r="H2">
        <v>26</v>
      </c>
      <c r="I2" s="15">
        <v>2</v>
      </c>
      <c r="J2" s="15">
        <v>7</v>
      </c>
      <c r="K2">
        <v>225</v>
      </c>
      <c r="L2" t="s">
        <v>74</v>
      </c>
      <c r="M2">
        <v>3.25</v>
      </c>
      <c r="N2">
        <v>2.75</v>
      </c>
      <c r="O2" t="s">
        <v>77</v>
      </c>
      <c r="P2" s="15">
        <v>5</v>
      </c>
      <c r="Q2" s="15">
        <v>2</v>
      </c>
      <c r="R2" s="15">
        <v>2</v>
      </c>
      <c r="S2" s="15">
        <v>9</v>
      </c>
      <c r="T2">
        <v>91</v>
      </c>
      <c r="U2">
        <v>42</v>
      </c>
      <c r="V2">
        <v>320</v>
      </c>
      <c r="W2">
        <v>9</v>
      </c>
    </row>
    <row r="3" spans="1:23" x14ac:dyDescent="0.2">
      <c r="A3" s="15" t="s">
        <v>78</v>
      </c>
      <c r="B3" s="15" t="s">
        <v>136</v>
      </c>
      <c r="C3" s="10">
        <v>51.822516999999998</v>
      </c>
      <c r="D3" s="10">
        <v>-1.3022499999999999</v>
      </c>
      <c r="E3">
        <v>8</v>
      </c>
      <c r="F3">
        <v>3</v>
      </c>
      <c r="G3">
        <f t="shared" si="0"/>
        <v>24</v>
      </c>
      <c r="H3">
        <v>65</v>
      </c>
      <c r="I3" s="15">
        <v>8</v>
      </c>
      <c r="J3" s="15">
        <v>10</v>
      </c>
      <c r="K3">
        <v>150</v>
      </c>
      <c r="L3" t="s">
        <v>80</v>
      </c>
      <c r="M3">
        <v>4.75</v>
      </c>
      <c r="N3">
        <v>3.25</v>
      </c>
      <c r="O3" t="s">
        <v>77</v>
      </c>
      <c r="P3" s="15">
        <v>9</v>
      </c>
      <c r="Q3" s="15">
        <v>2</v>
      </c>
      <c r="R3" s="15">
        <v>4</v>
      </c>
      <c r="S3" s="15">
        <v>15</v>
      </c>
      <c r="T3">
        <v>72</v>
      </c>
      <c r="U3">
        <v>27.6</v>
      </c>
      <c r="V3">
        <v>500</v>
      </c>
      <c r="W3">
        <v>15</v>
      </c>
    </row>
    <row r="4" spans="1:23" x14ac:dyDescent="0.2">
      <c r="A4" s="15" t="s">
        <v>82</v>
      </c>
      <c r="B4" s="15" t="s">
        <v>136</v>
      </c>
      <c r="C4" s="10">
        <v>51.823616999999999</v>
      </c>
      <c r="D4" s="10">
        <v>-1.3056000000000001</v>
      </c>
      <c r="E4">
        <v>6</v>
      </c>
      <c r="F4">
        <v>3</v>
      </c>
      <c r="G4">
        <f t="shared" si="0"/>
        <v>18</v>
      </c>
      <c r="H4">
        <v>51</v>
      </c>
      <c r="I4" s="15">
        <v>7</v>
      </c>
      <c r="J4" s="15">
        <v>8</v>
      </c>
      <c r="K4">
        <v>179</v>
      </c>
      <c r="L4" t="s">
        <v>83</v>
      </c>
      <c r="M4">
        <v>1.75</v>
      </c>
      <c r="N4">
        <v>2.25</v>
      </c>
      <c r="O4" t="s">
        <v>86</v>
      </c>
      <c r="P4" s="15">
        <v>4</v>
      </c>
      <c r="Q4" s="15">
        <v>1</v>
      </c>
      <c r="R4" s="15">
        <v>2</v>
      </c>
      <c r="S4" s="15">
        <v>7</v>
      </c>
      <c r="T4">
        <v>52</v>
      </c>
      <c r="U4">
        <v>34.200000000000003</v>
      </c>
      <c r="V4">
        <v>100</v>
      </c>
      <c r="W4">
        <v>7</v>
      </c>
    </row>
    <row r="5" spans="1:23" x14ac:dyDescent="0.2">
      <c r="A5" s="15" t="s">
        <v>87</v>
      </c>
      <c r="B5" s="15" t="s">
        <v>136</v>
      </c>
      <c r="C5" s="10">
        <v>51.822032999999998</v>
      </c>
      <c r="D5" s="10">
        <v>-1.30945</v>
      </c>
      <c r="E5">
        <v>6</v>
      </c>
      <c r="F5">
        <v>3</v>
      </c>
      <c r="G5">
        <f t="shared" si="0"/>
        <v>18</v>
      </c>
      <c r="H5">
        <v>160</v>
      </c>
      <c r="I5" s="15">
        <v>13</v>
      </c>
      <c r="J5" s="15">
        <v>11</v>
      </c>
      <c r="K5">
        <v>88</v>
      </c>
      <c r="L5" t="s">
        <v>88</v>
      </c>
      <c r="M5">
        <v>4.75</v>
      </c>
      <c r="N5">
        <v>3.75</v>
      </c>
      <c r="O5" t="s">
        <v>86</v>
      </c>
      <c r="P5" s="15">
        <v>5</v>
      </c>
      <c r="Q5" s="15">
        <v>2</v>
      </c>
      <c r="R5" s="15">
        <v>0</v>
      </c>
      <c r="S5" s="15">
        <v>7</v>
      </c>
      <c r="T5">
        <v>55</v>
      </c>
      <c r="U5">
        <v>20.399999999999999</v>
      </c>
      <c r="V5">
        <v>225</v>
      </c>
      <c r="W5">
        <v>4</v>
      </c>
    </row>
    <row r="6" spans="1:23" x14ac:dyDescent="0.2">
      <c r="A6" s="15" t="s">
        <v>90</v>
      </c>
      <c r="B6" s="15" t="s">
        <v>136</v>
      </c>
      <c r="C6" s="10">
        <v>51.820900000000002</v>
      </c>
      <c r="D6" s="10">
        <v>-1.3093669999999999</v>
      </c>
      <c r="E6">
        <v>2</v>
      </c>
      <c r="F6">
        <v>2</v>
      </c>
      <c r="G6">
        <f t="shared" si="0"/>
        <v>4</v>
      </c>
      <c r="H6">
        <v>89</v>
      </c>
      <c r="I6" s="15">
        <v>9</v>
      </c>
      <c r="J6" s="15">
        <v>9</v>
      </c>
      <c r="K6">
        <v>255</v>
      </c>
      <c r="L6" t="s">
        <v>92</v>
      </c>
      <c r="M6">
        <v>2.25</v>
      </c>
      <c r="N6">
        <v>1.75</v>
      </c>
      <c r="O6" t="s">
        <v>86</v>
      </c>
      <c r="P6" s="15">
        <v>3</v>
      </c>
      <c r="Q6" s="15">
        <v>3</v>
      </c>
      <c r="R6" s="15">
        <v>0</v>
      </c>
      <c r="S6" s="15">
        <v>6</v>
      </c>
      <c r="T6">
        <v>91</v>
      </c>
      <c r="U6">
        <v>32.4</v>
      </c>
      <c r="V6">
        <v>130</v>
      </c>
      <c r="W6">
        <v>6</v>
      </c>
    </row>
    <row r="7" spans="1:23" x14ac:dyDescent="0.2">
      <c r="A7" s="15" t="s">
        <v>93</v>
      </c>
      <c r="B7" s="15" t="s">
        <v>136</v>
      </c>
      <c r="C7" s="10">
        <v>51.818367000000002</v>
      </c>
      <c r="D7" s="10">
        <v>-1.3125830000000001</v>
      </c>
      <c r="E7">
        <v>6</v>
      </c>
      <c r="F7">
        <v>2</v>
      </c>
      <c r="G7">
        <f t="shared" si="0"/>
        <v>12</v>
      </c>
      <c r="H7">
        <v>198</v>
      </c>
      <c r="I7" s="15">
        <v>4</v>
      </c>
      <c r="J7" s="15">
        <v>8</v>
      </c>
      <c r="K7">
        <v>255</v>
      </c>
      <c r="L7" t="s">
        <v>92</v>
      </c>
      <c r="M7">
        <v>3.25</v>
      </c>
      <c r="N7">
        <v>2.25</v>
      </c>
      <c r="O7" t="s">
        <v>94</v>
      </c>
      <c r="P7" s="15">
        <v>5</v>
      </c>
      <c r="Q7" s="15">
        <v>2</v>
      </c>
      <c r="R7" s="15">
        <v>2</v>
      </c>
      <c r="S7" s="15">
        <v>9</v>
      </c>
      <c r="T7">
        <v>69</v>
      </c>
      <c r="U7">
        <v>12.6</v>
      </c>
      <c r="V7">
        <v>225</v>
      </c>
      <c r="W7">
        <v>4</v>
      </c>
    </row>
    <row r="8" spans="1:23" x14ac:dyDescent="0.2">
      <c r="A8" s="15" t="s">
        <v>95</v>
      </c>
      <c r="B8" s="15" t="s">
        <v>136</v>
      </c>
      <c r="C8" s="10">
        <v>51.817667</v>
      </c>
      <c r="D8" s="10">
        <v>-1.314683</v>
      </c>
      <c r="E8">
        <v>4</v>
      </c>
      <c r="F8">
        <v>3</v>
      </c>
      <c r="G8">
        <f t="shared" si="0"/>
        <v>12</v>
      </c>
      <c r="H8">
        <v>37</v>
      </c>
      <c r="I8" s="15">
        <v>6</v>
      </c>
      <c r="J8" s="15">
        <v>7</v>
      </c>
      <c r="K8">
        <v>2</v>
      </c>
      <c r="L8" t="s">
        <v>97</v>
      </c>
      <c r="M8">
        <v>1.75</v>
      </c>
      <c r="N8">
        <v>1.75</v>
      </c>
      <c r="O8" t="s">
        <v>94</v>
      </c>
      <c r="P8" s="15">
        <v>7</v>
      </c>
      <c r="Q8" s="15">
        <v>1</v>
      </c>
      <c r="R8" s="15">
        <v>0</v>
      </c>
      <c r="S8" s="15">
        <v>8</v>
      </c>
      <c r="T8">
        <v>86</v>
      </c>
      <c r="U8">
        <v>20.2</v>
      </c>
      <c r="V8">
        <v>145</v>
      </c>
      <c r="W8">
        <v>7</v>
      </c>
    </row>
    <row r="9" spans="1:23" x14ac:dyDescent="0.2">
      <c r="A9" s="15" t="s">
        <v>98</v>
      </c>
      <c r="B9" s="15" t="s">
        <v>136</v>
      </c>
      <c r="C9" s="10">
        <v>51.817332999999998</v>
      </c>
      <c r="D9" s="10">
        <v>-1.3145</v>
      </c>
      <c r="E9">
        <v>6</v>
      </c>
      <c r="F9">
        <v>3</v>
      </c>
      <c r="G9">
        <f t="shared" si="0"/>
        <v>18</v>
      </c>
      <c r="H9">
        <v>76</v>
      </c>
      <c r="I9" s="15">
        <v>9</v>
      </c>
      <c r="J9" s="15">
        <v>11</v>
      </c>
      <c r="K9">
        <v>171</v>
      </c>
      <c r="L9" t="s">
        <v>83</v>
      </c>
      <c r="M9">
        <v>4.75</v>
      </c>
      <c r="N9">
        <v>3.75</v>
      </c>
      <c r="O9" t="s">
        <v>99</v>
      </c>
      <c r="P9" s="15">
        <v>2</v>
      </c>
      <c r="Q9" s="15">
        <v>1</v>
      </c>
      <c r="R9" s="15">
        <v>2</v>
      </c>
      <c r="S9" s="15">
        <v>5</v>
      </c>
      <c r="T9">
        <v>121</v>
      </c>
      <c r="U9">
        <v>44</v>
      </c>
      <c r="V9">
        <v>195</v>
      </c>
      <c r="W9">
        <v>10</v>
      </c>
    </row>
    <row r="10" spans="1:23" x14ac:dyDescent="0.2">
      <c r="A10" s="15" t="s">
        <v>100</v>
      </c>
      <c r="B10" s="15" t="s">
        <v>136</v>
      </c>
      <c r="C10" s="10">
        <v>51.816682999999998</v>
      </c>
      <c r="D10" s="10">
        <v>-1.31325</v>
      </c>
      <c r="E10">
        <v>6</v>
      </c>
      <c r="F10">
        <v>2</v>
      </c>
      <c r="G10">
        <f t="shared" si="0"/>
        <v>12</v>
      </c>
      <c r="H10">
        <v>254</v>
      </c>
      <c r="I10" s="15">
        <v>9</v>
      </c>
      <c r="J10" s="15">
        <v>10</v>
      </c>
      <c r="K10">
        <v>268</v>
      </c>
      <c r="L10" t="s">
        <v>92</v>
      </c>
      <c r="M10">
        <v>3.25</v>
      </c>
      <c r="N10">
        <v>3.75</v>
      </c>
      <c r="O10" t="s">
        <v>94</v>
      </c>
      <c r="P10" s="15">
        <v>4</v>
      </c>
      <c r="Q10" s="15">
        <v>2</v>
      </c>
      <c r="R10" s="15">
        <v>1</v>
      </c>
      <c r="S10" s="15">
        <v>7</v>
      </c>
      <c r="T10">
        <v>136</v>
      </c>
      <c r="U10">
        <v>61.2</v>
      </c>
      <c r="V10">
        <v>160</v>
      </c>
      <c r="W10">
        <v>10</v>
      </c>
    </row>
    <row r="11" spans="1:23" x14ac:dyDescent="0.2">
      <c r="A11" s="15" t="s">
        <v>105</v>
      </c>
      <c r="B11" s="15" t="s">
        <v>136</v>
      </c>
      <c r="C11" s="10">
        <v>51.817749999999997</v>
      </c>
      <c r="D11" s="10">
        <v>-1.310883</v>
      </c>
      <c r="E11">
        <v>4</v>
      </c>
      <c r="F11">
        <v>3</v>
      </c>
      <c r="G11">
        <f t="shared" si="0"/>
        <v>12</v>
      </c>
      <c r="H11">
        <v>70</v>
      </c>
      <c r="I11" s="15">
        <v>5</v>
      </c>
      <c r="J11" s="15">
        <v>7</v>
      </c>
      <c r="K11">
        <v>0</v>
      </c>
      <c r="L11" t="s">
        <v>97</v>
      </c>
      <c r="M11">
        <v>2.25</v>
      </c>
      <c r="N11">
        <v>1.75</v>
      </c>
      <c r="O11" t="s">
        <v>94</v>
      </c>
      <c r="P11" s="15">
        <v>6</v>
      </c>
      <c r="Q11" s="15">
        <v>1</v>
      </c>
      <c r="R11" s="15">
        <v>0</v>
      </c>
      <c r="S11" s="15">
        <v>7</v>
      </c>
      <c r="T11">
        <v>56</v>
      </c>
      <c r="U11">
        <v>17.399999999999999</v>
      </c>
      <c r="V11">
        <v>75</v>
      </c>
      <c r="W11">
        <v>4</v>
      </c>
    </row>
    <row r="12" spans="1:23" x14ac:dyDescent="0.2">
      <c r="A12" s="15" t="s">
        <v>106</v>
      </c>
      <c r="B12" s="15" t="s">
        <v>136</v>
      </c>
      <c r="C12" s="10">
        <v>51.816133000000001</v>
      </c>
      <c r="D12" s="10">
        <v>-1.3091330000000001</v>
      </c>
      <c r="E12">
        <v>4</v>
      </c>
      <c r="F12">
        <v>3</v>
      </c>
      <c r="G12">
        <f t="shared" si="0"/>
        <v>12</v>
      </c>
      <c r="H12">
        <v>73</v>
      </c>
      <c r="I12" s="15">
        <v>6</v>
      </c>
      <c r="J12" s="15">
        <v>9</v>
      </c>
      <c r="K12">
        <v>358</v>
      </c>
      <c r="L12" t="s">
        <v>97</v>
      </c>
      <c r="M12">
        <v>2.25</v>
      </c>
      <c r="N12">
        <v>2.25</v>
      </c>
      <c r="O12" t="s">
        <v>94</v>
      </c>
      <c r="P12" s="15">
        <v>7</v>
      </c>
      <c r="Q12" s="15">
        <v>1</v>
      </c>
      <c r="R12" s="15">
        <v>0</v>
      </c>
      <c r="S12" s="15">
        <v>8</v>
      </c>
      <c r="T12">
        <v>42</v>
      </c>
      <c r="U12">
        <v>18.600000000000001</v>
      </c>
      <c r="V12">
        <v>90</v>
      </c>
      <c r="W12">
        <v>5</v>
      </c>
    </row>
    <row r="13" spans="1:23" x14ac:dyDescent="0.2">
      <c r="A13" s="15" t="s">
        <v>107</v>
      </c>
      <c r="B13" s="15" t="s">
        <v>136</v>
      </c>
      <c r="C13" s="10">
        <v>51.815100000000001</v>
      </c>
      <c r="D13" s="10">
        <v>-1.307833</v>
      </c>
      <c r="E13">
        <v>4</v>
      </c>
      <c r="F13">
        <v>3</v>
      </c>
      <c r="G13">
        <f t="shared" si="0"/>
        <v>12</v>
      </c>
      <c r="H13">
        <v>50</v>
      </c>
      <c r="I13" s="15">
        <v>6</v>
      </c>
      <c r="J13" s="15">
        <v>9</v>
      </c>
      <c r="K13">
        <v>4</v>
      </c>
      <c r="L13" t="s">
        <v>97</v>
      </c>
      <c r="M13">
        <v>1.75</v>
      </c>
      <c r="N13">
        <v>1.75</v>
      </c>
      <c r="O13" t="s">
        <v>108</v>
      </c>
      <c r="P13" s="15">
        <v>4</v>
      </c>
      <c r="Q13" s="15">
        <v>2</v>
      </c>
      <c r="R13" s="15">
        <v>0</v>
      </c>
      <c r="S13" s="15">
        <v>6</v>
      </c>
      <c r="T13">
        <v>83</v>
      </c>
      <c r="U13">
        <v>41.6</v>
      </c>
      <c r="V13">
        <v>310</v>
      </c>
      <c r="W13">
        <v>16</v>
      </c>
    </row>
    <row r="14" spans="1:23" x14ac:dyDescent="0.2">
      <c r="A14" s="15" t="s">
        <v>109</v>
      </c>
      <c r="B14" s="15" t="s">
        <v>136</v>
      </c>
      <c r="C14" s="10">
        <v>51.816766999999999</v>
      </c>
      <c r="D14" s="10">
        <v>-1.3060499999999999</v>
      </c>
      <c r="E14">
        <v>2</v>
      </c>
      <c r="F14">
        <v>2</v>
      </c>
      <c r="G14">
        <f t="shared" si="0"/>
        <v>4</v>
      </c>
      <c r="H14">
        <v>67</v>
      </c>
      <c r="I14" s="15">
        <v>8</v>
      </c>
      <c r="J14" s="15">
        <v>9</v>
      </c>
      <c r="K14">
        <v>268</v>
      </c>
      <c r="L14" t="s">
        <v>92</v>
      </c>
      <c r="M14">
        <v>1.25</v>
      </c>
      <c r="N14">
        <v>1.75</v>
      </c>
      <c r="O14" t="s">
        <v>99</v>
      </c>
      <c r="P14" s="15">
        <v>2</v>
      </c>
      <c r="Q14" s="15">
        <v>1</v>
      </c>
      <c r="R14" s="15">
        <v>0</v>
      </c>
      <c r="S14" s="15">
        <v>3</v>
      </c>
      <c r="T14">
        <v>68</v>
      </c>
      <c r="U14">
        <v>58.8</v>
      </c>
      <c r="V14">
        <v>500</v>
      </c>
      <c r="W14">
        <v>5</v>
      </c>
    </row>
    <row r="15" spans="1:23" x14ac:dyDescent="0.2">
      <c r="A15" s="15" t="s">
        <v>111</v>
      </c>
      <c r="B15" s="15" t="s">
        <v>136</v>
      </c>
      <c r="C15" s="10">
        <v>51.816682999999998</v>
      </c>
      <c r="D15" s="10">
        <v>-1.305917</v>
      </c>
      <c r="E15">
        <v>2</v>
      </c>
      <c r="F15">
        <v>2</v>
      </c>
      <c r="G15">
        <f t="shared" si="0"/>
        <v>4</v>
      </c>
      <c r="H15">
        <v>150</v>
      </c>
      <c r="I15" s="15">
        <v>7</v>
      </c>
      <c r="J15" s="15">
        <v>10</v>
      </c>
      <c r="K15">
        <v>84</v>
      </c>
      <c r="L15" t="s">
        <v>88</v>
      </c>
      <c r="M15">
        <v>1.25</v>
      </c>
      <c r="N15">
        <v>1.25</v>
      </c>
      <c r="O15" t="s">
        <v>99</v>
      </c>
      <c r="P15" s="15">
        <v>2</v>
      </c>
      <c r="Q15" s="15">
        <v>2</v>
      </c>
      <c r="R15" s="15">
        <v>0</v>
      </c>
      <c r="S15" s="15">
        <v>4</v>
      </c>
      <c r="T15">
        <v>117</v>
      </c>
      <c r="U15">
        <v>56.8</v>
      </c>
      <c r="V15">
        <v>500</v>
      </c>
      <c r="W15">
        <v>5</v>
      </c>
    </row>
    <row r="16" spans="1:23" x14ac:dyDescent="0.2">
      <c r="A16" s="15" t="s">
        <v>112</v>
      </c>
      <c r="B16" s="15" t="s">
        <v>136</v>
      </c>
      <c r="C16" s="10">
        <v>51.815632999999998</v>
      </c>
      <c r="D16" s="10">
        <v>-1.2991999999999999</v>
      </c>
      <c r="E16">
        <v>4</v>
      </c>
      <c r="F16">
        <v>3</v>
      </c>
      <c r="G16">
        <f t="shared" si="0"/>
        <v>12</v>
      </c>
      <c r="H16">
        <v>68</v>
      </c>
      <c r="I16" s="15">
        <v>7</v>
      </c>
      <c r="J16" s="15">
        <v>9</v>
      </c>
      <c r="K16">
        <v>179</v>
      </c>
      <c r="L16" t="s">
        <v>83</v>
      </c>
      <c r="M16">
        <v>1.75</v>
      </c>
      <c r="N16">
        <v>2.25</v>
      </c>
      <c r="O16" t="s">
        <v>113</v>
      </c>
      <c r="P16" s="15">
        <v>4</v>
      </c>
      <c r="Q16" s="15">
        <v>1</v>
      </c>
      <c r="R16" s="15">
        <v>0</v>
      </c>
      <c r="S16" s="15">
        <v>5</v>
      </c>
      <c r="T16">
        <v>142</v>
      </c>
      <c r="U16">
        <v>53.4</v>
      </c>
      <c r="V16">
        <v>95</v>
      </c>
      <c r="W16">
        <v>10</v>
      </c>
    </row>
    <row r="17" spans="1:23" x14ac:dyDescent="0.2">
      <c r="A17" s="15" t="s">
        <v>114</v>
      </c>
      <c r="B17" s="15" t="s">
        <v>136</v>
      </c>
      <c r="C17" s="10">
        <v>51.815617000000003</v>
      </c>
      <c r="D17" s="10">
        <v>-1.3024169999999999</v>
      </c>
      <c r="E17">
        <v>6</v>
      </c>
      <c r="F17">
        <v>3</v>
      </c>
      <c r="G17">
        <f t="shared" si="0"/>
        <v>18</v>
      </c>
      <c r="H17">
        <v>102</v>
      </c>
      <c r="I17" s="15">
        <v>6</v>
      </c>
      <c r="J17" s="15">
        <v>8</v>
      </c>
      <c r="K17">
        <v>182</v>
      </c>
      <c r="L17" t="s">
        <v>83</v>
      </c>
      <c r="M17">
        <v>2.25</v>
      </c>
      <c r="N17">
        <v>2.25</v>
      </c>
      <c r="O17" t="s">
        <v>115</v>
      </c>
      <c r="P17" s="15">
        <v>3</v>
      </c>
      <c r="Q17" s="15">
        <v>1</v>
      </c>
      <c r="R17" s="15">
        <v>2</v>
      </c>
      <c r="S17" s="15">
        <v>6</v>
      </c>
      <c r="T17">
        <v>117</v>
      </c>
      <c r="U17">
        <v>52</v>
      </c>
      <c r="V17">
        <v>500</v>
      </c>
      <c r="W17">
        <v>7</v>
      </c>
    </row>
    <row r="18" spans="1:23" x14ac:dyDescent="0.2">
      <c r="A18" s="15" t="s">
        <v>116</v>
      </c>
      <c r="B18" s="15" t="s">
        <v>136</v>
      </c>
      <c r="C18" s="10">
        <v>51.813732999999999</v>
      </c>
      <c r="D18" s="10">
        <v>-1.3007169999999999</v>
      </c>
      <c r="E18">
        <v>4</v>
      </c>
      <c r="F18">
        <v>2</v>
      </c>
      <c r="G18">
        <f t="shared" si="0"/>
        <v>8</v>
      </c>
      <c r="H18">
        <v>118</v>
      </c>
      <c r="I18" s="15">
        <v>5</v>
      </c>
      <c r="J18" s="15">
        <v>8</v>
      </c>
      <c r="K18">
        <v>165</v>
      </c>
      <c r="L18" t="s">
        <v>83</v>
      </c>
      <c r="M18">
        <v>2.75</v>
      </c>
      <c r="N18">
        <v>1.75</v>
      </c>
      <c r="O18" t="s">
        <v>86</v>
      </c>
      <c r="P18" s="15">
        <v>3</v>
      </c>
      <c r="Q18" s="15">
        <v>1</v>
      </c>
      <c r="R18" s="15">
        <v>0</v>
      </c>
      <c r="S18" s="15">
        <v>4</v>
      </c>
      <c r="T18">
        <v>78</v>
      </c>
      <c r="U18">
        <v>30</v>
      </c>
      <c r="V18">
        <v>220</v>
      </c>
      <c r="W18">
        <v>6</v>
      </c>
    </row>
    <row r="19" spans="1:23" x14ac:dyDescent="0.2">
      <c r="A19" s="15" t="s">
        <v>117</v>
      </c>
      <c r="B19" s="15" t="s">
        <v>136</v>
      </c>
      <c r="C19" s="10">
        <v>51.810867000000002</v>
      </c>
      <c r="D19" s="10">
        <v>-1.3022</v>
      </c>
      <c r="E19">
        <v>8</v>
      </c>
      <c r="F19">
        <v>3</v>
      </c>
      <c r="G19">
        <f t="shared" si="0"/>
        <v>24</v>
      </c>
      <c r="H19">
        <v>54</v>
      </c>
      <c r="I19" s="15">
        <v>5</v>
      </c>
      <c r="J19" s="15">
        <v>8</v>
      </c>
      <c r="K19">
        <v>314</v>
      </c>
      <c r="L19" t="s">
        <v>103</v>
      </c>
      <c r="M19">
        <v>4.25</v>
      </c>
      <c r="N19">
        <v>3.25</v>
      </c>
      <c r="O19" t="s">
        <v>86</v>
      </c>
      <c r="P19" s="15">
        <v>3</v>
      </c>
      <c r="Q19" s="15">
        <v>1</v>
      </c>
      <c r="R19" s="15">
        <v>2</v>
      </c>
      <c r="S19" s="15">
        <v>6</v>
      </c>
      <c r="T19">
        <v>90</v>
      </c>
      <c r="U19">
        <v>56.6</v>
      </c>
      <c r="V19">
        <v>420</v>
      </c>
      <c r="W19">
        <v>7</v>
      </c>
    </row>
    <row r="20" spans="1:23" x14ac:dyDescent="0.2">
      <c r="A20" s="15" t="s">
        <v>119</v>
      </c>
      <c r="B20" s="15" t="s">
        <v>136</v>
      </c>
      <c r="C20" s="10">
        <v>51.818550000000002</v>
      </c>
      <c r="D20" s="10">
        <v>-1.2959670000000001</v>
      </c>
      <c r="E20">
        <v>8</v>
      </c>
      <c r="F20">
        <v>3</v>
      </c>
      <c r="G20">
        <f t="shared" si="0"/>
        <v>24</v>
      </c>
      <c r="H20">
        <v>33</v>
      </c>
      <c r="I20" s="15">
        <v>5</v>
      </c>
      <c r="J20" s="15">
        <v>9</v>
      </c>
      <c r="K20">
        <v>211</v>
      </c>
      <c r="L20" t="s">
        <v>74</v>
      </c>
      <c r="M20">
        <v>4.25</v>
      </c>
      <c r="N20">
        <v>3.75</v>
      </c>
      <c r="O20" t="s">
        <v>115</v>
      </c>
      <c r="P20" s="15">
        <v>4</v>
      </c>
      <c r="Q20" s="15">
        <v>2</v>
      </c>
      <c r="R20" s="15">
        <v>2</v>
      </c>
      <c r="S20" s="15">
        <v>8</v>
      </c>
      <c r="T20">
        <v>124</v>
      </c>
      <c r="U20">
        <v>74.599999999999994</v>
      </c>
      <c r="V20">
        <v>500</v>
      </c>
      <c r="W20">
        <v>7</v>
      </c>
    </row>
    <row r="21" spans="1:23" x14ac:dyDescent="0.2">
      <c r="A21" s="15" t="s">
        <v>120</v>
      </c>
      <c r="B21" s="15" t="s">
        <v>136</v>
      </c>
      <c r="C21" s="10">
        <v>51.816716999999997</v>
      </c>
      <c r="D21" s="10">
        <v>-1.293917</v>
      </c>
      <c r="E21">
        <v>8</v>
      </c>
      <c r="F21">
        <v>2</v>
      </c>
      <c r="G21">
        <f t="shared" si="0"/>
        <v>16</v>
      </c>
      <c r="H21">
        <v>34</v>
      </c>
      <c r="I21" s="15">
        <v>4</v>
      </c>
      <c r="J21" s="15">
        <v>8</v>
      </c>
      <c r="K21">
        <v>174</v>
      </c>
      <c r="L21" t="s">
        <v>83</v>
      </c>
      <c r="M21">
        <v>3.75</v>
      </c>
      <c r="N21">
        <v>2.25</v>
      </c>
      <c r="O21" t="s">
        <v>121</v>
      </c>
      <c r="P21" s="15">
        <v>3</v>
      </c>
      <c r="Q21" s="15">
        <v>1</v>
      </c>
      <c r="R21" s="15">
        <v>2</v>
      </c>
      <c r="S21" s="15">
        <v>6</v>
      </c>
      <c r="T21">
        <v>162</v>
      </c>
      <c r="U21">
        <v>102.2</v>
      </c>
      <c r="V21">
        <v>85</v>
      </c>
      <c r="W21">
        <v>8</v>
      </c>
    </row>
    <row r="22" spans="1:23" x14ac:dyDescent="0.2">
      <c r="A22" s="15" t="s">
        <v>122</v>
      </c>
      <c r="B22" s="15" t="s">
        <v>136</v>
      </c>
      <c r="C22" s="10">
        <v>51.815533000000002</v>
      </c>
      <c r="D22" s="10">
        <v>-1.2947500000000001</v>
      </c>
      <c r="E22">
        <v>6</v>
      </c>
      <c r="F22">
        <v>3</v>
      </c>
      <c r="G22">
        <f t="shared" si="0"/>
        <v>18</v>
      </c>
      <c r="H22">
        <v>24</v>
      </c>
      <c r="I22" s="15">
        <v>7</v>
      </c>
      <c r="J22" s="15">
        <v>10</v>
      </c>
      <c r="K22">
        <v>350</v>
      </c>
      <c r="L22" t="s">
        <v>97</v>
      </c>
      <c r="M22">
        <v>3.75</v>
      </c>
      <c r="N22">
        <v>2.25</v>
      </c>
      <c r="O22" t="s">
        <v>121</v>
      </c>
      <c r="P22" s="15">
        <v>5</v>
      </c>
      <c r="Q22" s="15">
        <v>1</v>
      </c>
      <c r="R22" s="15">
        <v>1</v>
      </c>
      <c r="S22" s="15">
        <v>7</v>
      </c>
      <c r="T22">
        <v>104</v>
      </c>
      <c r="U22">
        <v>52.8</v>
      </c>
      <c r="V22">
        <v>65</v>
      </c>
      <c r="W22">
        <v>11</v>
      </c>
    </row>
    <row r="23" spans="1:23" x14ac:dyDescent="0.2">
      <c r="A23" s="15" t="s">
        <v>123</v>
      </c>
      <c r="B23" s="15" t="s">
        <v>136</v>
      </c>
      <c r="C23" s="10">
        <v>51.815832999999998</v>
      </c>
      <c r="D23" s="10">
        <v>-1.29295</v>
      </c>
      <c r="E23">
        <v>6</v>
      </c>
      <c r="F23">
        <v>3</v>
      </c>
      <c r="G23">
        <f t="shared" si="0"/>
        <v>18</v>
      </c>
      <c r="H23">
        <v>104</v>
      </c>
      <c r="I23" s="15">
        <v>8</v>
      </c>
      <c r="J23" s="15">
        <v>9</v>
      </c>
      <c r="K23">
        <v>161</v>
      </c>
      <c r="L23" t="s">
        <v>124</v>
      </c>
      <c r="M23">
        <v>2.75</v>
      </c>
      <c r="N23">
        <v>2.25</v>
      </c>
      <c r="O23" t="s">
        <v>121</v>
      </c>
      <c r="P23" s="15">
        <v>5</v>
      </c>
      <c r="Q23" s="15">
        <v>2</v>
      </c>
      <c r="R23" s="15">
        <v>1</v>
      </c>
      <c r="S23" s="15">
        <v>8</v>
      </c>
      <c r="T23">
        <v>128</v>
      </c>
      <c r="U23">
        <v>72.400000000000006</v>
      </c>
      <c r="V23">
        <v>115</v>
      </c>
      <c r="W23">
        <v>11</v>
      </c>
    </row>
    <row r="24" spans="1:23" x14ac:dyDescent="0.2">
      <c r="A24" s="15" t="s">
        <v>125</v>
      </c>
      <c r="B24" s="15" t="s">
        <v>136</v>
      </c>
      <c r="C24" s="10">
        <v>51.815133000000003</v>
      </c>
      <c r="D24" s="10">
        <v>-1.2927</v>
      </c>
      <c r="E24">
        <v>8</v>
      </c>
      <c r="F24">
        <v>3</v>
      </c>
      <c r="G24">
        <f t="shared" si="0"/>
        <v>24</v>
      </c>
      <c r="H24">
        <v>51</v>
      </c>
      <c r="I24" s="15">
        <v>6</v>
      </c>
      <c r="J24" s="15">
        <v>9</v>
      </c>
      <c r="K24">
        <v>287</v>
      </c>
      <c r="L24" t="s">
        <v>92</v>
      </c>
      <c r="M24">
        <v>4.75</v>
      </c>
      <c r="N24">
        <v>3.75</v>
      </c>
      <c r="O24" t="s">
        <v>121</v>
      </c>
      <c r="P24" s="15">
        <v>5</v>
      </c>
      <c r="Q24" s="15">
        <v>1</v>
      </c>
      <c r="R24" s="15">
        <v>3</v>
      </c>
      <c r="S24" s="15">
        <v>9</v>
      </c>
      <c r="T24">
        <v>127</v>
      </c>
      <c r="U24">
        <v>71</v>
      </c>
      <c r="V24">
        <v>110</v>
      </c>
      <c r="W24">
        <v>6</v>
      </c>
    </row>
    <row r="25" spans="1:23" x14ac:dyDescent="0.2">
      <c r="A25" s="15" t="s">
        <v>126</v>
      </c>
      <c r="B25" s="15" t="s">
        <v>136</v>
      </c>
      <c r="C25" s="10">
        <v>51.815100000000001</v>
      </c>
      <c r="D25" s="10">
        <v>-1.2924329999999999</v>
      </c>
      <c r="E25">
        <v>8</v>
      </c>
      <c r="F25">
        <v>3</v>
      </c>
      <c r="G25">
        <f t="shared" si="0"/>
        <v>24</v>
      </c>
      <c r="H25">
        <v>184</v>
      </c>
      <c r="I25" s="15">
        <v>12</v>
      </c>
      <c r="J25" s="15">
        <v>11</v>
      </c>
      <c r="K25">
        <v>117</v>
      </c>
      <c r="L25" t="s">
        <v>80</v>
      </c>
      <c r="M25">
        <v>4.75</v>
      </c>
      <c r="N25">
        <v>3.75</v>
      </c>
      <c r="O25" t="s">
        <v>113</v>
      </c>
      <c r="P25" s="15">
        <v>5</v>
      </c>
      <c r="Q25" s="15">
        <v>1</v>
      </c>
      <c r="R25" s="15">
        <v>2</v>
      </c>
      <c r="S25" s="15">
        <v>8</v>
      </c>
      <c r="T25">
        <v>106</v>
      </c>
      <c r="U25">
        <v>44.6</v>
      </c>
      <c r="V25">
        <v>125</v>
      </c>
      <c r="W25">
        <v>10</v>
      </c>
    </row>
    <row r="26" spans="1:23" x14ac:dyDescent="0.2">
      <c r="A26" s="15" t="s">
        <v>127</v>
      </c>
      <c r="B26" s="15" t="s">
        <v>136</v>
      </c>
      <c r="C26" s="10">
        <v>51.812600000000003</v>
      </c>
      <c r="D26" s="10">
        <v>-1.293833</v>
      </c>
      <c r="E26">
        <v>8</v>
      </c>
      <c r="F26">
        <v>3</v>
      </c>
      <c r="G26">
        <f t="shared" si="0"/>
        <v>24</v>
      </c>
      <c r="H26">
        <v>46</v>
      </c>
      <c r="I26" s="15">
        <v>9</v>
      </c>
      <c r="J26" s="15">
        <v>10</v>
      </c>
      <c r="K26">
        <v>102</v>
      </c>
      <c r="L26" t="s">
        <v>88</v>
      </c>
      <c r="M26">
        <v>3.75</v>
      </c>
      <c r="N26">
        <v>3.25</v>
      </c>
      <c r="O26" t="s">
        <v>113</v>
      </c>
      <c r="P26" s="15">
        <v>4</v>
      </c>
      <c r="Q26" s="15">
        <v>2</v>
      </c>
      <c r="R26" s="15">
        <v>2</v>
      </c>
      <c r="S26" s="15">
        <v>8</v>
      </c>
      <c r="T26">
        <v>62</v>
      </c>
      <c r="U26">
        <v>24.4</v>
      </c>
      <c r="V26">
        <v>160</v>
      </c>
      <c r="W26">
        <v>9</v>
      </c>
    </row>
    <row r="27" spans="1:23" x14ac:dyDescent="0.2">
      <c r="A27" s="15" t="s">
        <v>128</v>
      </c>
      <c r="B27" s="15" t="s">
        <v>136</v>
      </c>
      <c r="C27" s="10">
        <v>51.809583000000003</v>
      </c>
      <c r="D27" s="10">
        <v>-1.2956669999999999</v>
      </c>
      <c r="E27">
        <v>8</v>
      </c>
      <c r="F27">
        <v>3</v>
      </c>
      <c r="G27">
        <f t="shared" si="0"/>
        <v>24</v>
      </c>
      <c r="H27">
        <v>73</v>
      </c>
      <c r="I27" s="15">
        <v>7</v>
      </c>
      <c r="J27" s="15">
        <v>7</v>
      </c>
      <c r="K27">
        <v>98</v>
      </c>
      <c r="L27" t="s">
        <v>88</v>
      </c>
      <c r="M27">
        <v>3.25</v>
      </c>
      <c r="N27">
        <v>3.25</v>
      </c>
      <c r="O27" t="s">
        <v>113</v>
      </c>
      <c r="P27" s="15">
        <v>3</v>
      </c>
      <c r="Q27" s="15">
        <v>1</v>
      </c>
      <c r="R27" s="15">
        <v>4</v>
      </c>
      <c r="S27" s="15">
        <v>8</v>
      </c>
      <c r="T27">
        <v>41</v>
      </c>
      <c r="U27">
        <v>24.4</v>
      </c>
      <c r="V27">
        <v>125</v>
      </c>
      <c r="W27">
        <v>11</v>
      </c>
    </row>
    <row r="28" spans="1:23" x14ac:dyDescent="0.2">
      <c r="A28" s="15" t="s">
        <v>129</v>
      </c>
      <c r="B28" s="15" t="s">
        <v>136</v>
      </c>
      <c r="C28" s="10">
        <v>51.807749999999999</v>
      </c>
      <c r="D28" s="10">
        <v>-1.29295</v>
      </c>
      <c r="E28">
        <v>8</v>
      </c>
      <c r="F28">
        <v>2</v>
      </c>
      <c r="G28">
        <f t="shared" si="0"/>
        <v>16</v>
      </c>
      <c r="H28">
        <v>84</v>
      </c>
      <c r="I28" s="15">
        <v>7</v>
      </c>
      <c r="J28" s="15">
        <v>10</v>
      </c>
      <c r="K28">
        <v>285</v>
      </c>
      <c r="L28" t="s">
        <v>92</v>
      </c>
      <c r="M28">
        <v>3.25</v>
      </c>
      <c r="N28">
        <v>3.75</v>
      </c>
      <c r="O28" t="s">
        <v>113</v>
      </c>
      <c r="P28" s="15">
        <v>6</v>
      </c>
      <c r="Q28" s="15">
        <v>1</v>
      </c>
      <c r="R28" s="15">
        <v>2</v>
      </c>
      <c r="S28" s="15">
        <v>9</v>
      </c>
      <c r="T28">
        <v>47</v>
      </c>
      <c r="U28">
        <v>20.2</v>
      </c>
      <c r="V28">
        <v>80</v>
      </c>
      <c r="W28">
        <v>8</v>
      </c>
    </row>
    <row r="29" spans="1:23" x14ac:dyDescent="0.2">
      <c r="A29" s="15" t="s">
        <v>130</v>
      </c>
      <c r="B29" s="15" t="s">
        <v>136</v>
      </c>
      <c r="C29" s="10">
        <v>51.808599999999998</v>
      </c>
      <c r="D29" s="10">
        <v>-1.288683</v>
      </c>
      <c r="E29">
        <v>6</v>
      </c>
      <c r="F29">
        <v>3</v>
      </c>
      <c r="G29">
        <f t="shared" si="0"/>
        <v>18</v>
      </c>
      <c r="H29">
        <v>96</v>
      </c>
      <c r="I29" s="15">
        <v>4</v>
      </c>
      <c r="J29" s="15">
        <v>8</v>
      </c>
      <c r="K29">
        <v>274</v>
      </c>
      <c r="L29" t="s">
        <v>92</v>
      </c>
      <c r="M29">
        <v>3.25</v>
      </c>
      <c r="N29">
        <v>3.75</v>
      </c>
      <c r="O29" t="s">
        <v>113</v>
      </c>
      <c r="P29" s="15">
        <v>4</v>
      </c>
      <c r="Q29" s="15">
        <v>1</v>
      </c>
      <c r="R29" s="15">
        <v>3</v>
      </c>
      <c r="S29" s="15">
        <v>8</v>
      </c>
      <c r="T29">
        <v>58</v>
      </c>
      <c r="U29">
        <v>35</v>
      </c>
      <c r="V29">
        <v>80</v>
      </c>
      <c r="W29">
        <v>4</v>
      </c>
    </row>
    <row r="30" spans="1:23" x14ac:dyDescent="0.2">
      <c r="A30" s="15" t="s">
        <v>131</v>
      </c>
      <c r="B30" s="15" t="s">
        <v>136</v>
      </c>
      <c r="C30" s="10">
        <v>51.811216999999999</v>
      </c>
      <c r="D30" s="10">
        <v>-1.2882830000000001</v>
      </c>
      <c r="E30">
        <v>6</v>
      </c>
      <c r="F30">
        <v>3</v>
      </c>
      <c r="G30">
        <f t="shared" si="0"/>
        <v>18</v>
      </c>
      <c r="H30">
        <v>30</v>
      </c>
      <c r="I30" s="15">
        <v>4</v>
      </c>
      <c r="J30" s="15">
        <v>5</v>
      </c>
      <c r="K30">
        <v>278</v>
      </c>
      <c r="L30" t="s">
        <v>92</v>
      </c>
      <c r="M30">
        <v>2.75</v>
      </c>
      <c r="N30">
        <v>3.25</v>
      </c>
      <c r="O30" t="s">
        <v>113</v>
      </c>
      <c r="P30" s="15">
        <v>2</v>
      </c>
      <c r="Q30" s="15">
        <v>2</v>
      </c>
      <c r="R30" s="15">
        <v>1</v>
      </c>
      <c r="S30" s="15">
        <v>5</v>
      </c>
      <c r="T30">
        <v>62</v>
      </c>
      <c r="U30">
        <v>41.6</v>
      </c>
      <c r="V30">
        <v>110</v>
      </c>
      <c r="W30">
        <v>10</v>
      </c>
    </row>
    <row r="31" spans="1:23" x14ac:dyDescent="0.2">
      <c r="A31" s="15" t="s">
        <v>72</v>
      </c>
      <c r="B31" s="15" t="s">
        <v>137</v>
      </c>
      <c r="C31" s="10">
        <v>51.822099999999999</v>
      </c>
      <c r="D31" s="10">
        <v>-1.2992330000000001</v>
      </c>
      <c r="E31">
        <v>6</v>
      </c>
      <c r="F31">
        <v>3</v>
      </c>
      <c r="G31">
        <f t="shared" si="0"/>
        <v>18</v>
      </c>
      <c r="H31">
        <v>70</v>
      </c>
      <c r="I31" s="15">
        <v>4</v>
      </c>
      <c r="J31">
        <v>8</v>
      </c>
      <c r="K31">
        <v>225</v>
      </c>
      <c r="L31" t="s">
        <v>74</v>
      </c>
      <c r="M31">
        <v>3.25</v>
      </c>
      <c r="N31">
        <v>2.75</v>
      </c>
      <c r="O31" t="s">
        <v>77</v>
      </c>
      <c r="P31" s="15">
        <v>5</v>
      </c>
      <c r="Q31" s="15">
        <v>2</v>
      </c>
      <c r="R31" s="15">
        <v>2</v>
      </c>
      <c r="S31" s="15">
        <v>9</v>
      </c>
      <c r="T31">
        <v>67</v>
      </c>
      <c r="U31">
        <v>28.8</v>
      </c>
      <c r="V31">
        <v>340</v>
      </c>
      <c r="W31">
        <v>8</v>
      </c>
    </row>
    <row r="32" spans="1:23" x14ac:dyDescent="0.2">
      <c r="A32" s="15" t="s">
        <v>78</v>
      </c>
      <c r="B32" s="15" t="s">
        <v>137</v>
      </c>
      <c r="C32" s="10">
        <v>51.822516999999998</v>
      </c>
      <c r="D32" s="10">
        <v>-1.3022499999999999</v>
      </c>
      <c r="E32">
        <v>8</v>
      </c>
      <c r="F32">
        <v>3</v>
      </c>
      <c r="G32">
        <f t="shared" si="0"/>
        <v>24</v>
      </c>
      <c r="H32">
        <v>95</v>
      </c>
      <c r="I32" s="15">
        <v>8</v>
      </c>
      <c r="J32" s="15">
        <v>8</v>
      </c>
      <c r="K32">
        <v>150</v>
      </c>
      <c r="L32" t="s">
        <v>80</v>
      </c>
      <c r="M32">
        <v>4.75</v>
      </c>
      <c r="N32">
        <v>3.25</v>
      </c>
      <c r="O32" t="s">
        <v>77</v>
      </c>
      <c r="P32" s="15">
        <v>9</v>
      </c>
      <c r="Q32" s="15">
        <v>2</v>
      </c>
      <c r="R32" s="15">
        <v>4</v>
      </c>
      <c r="S32" s="15">
        <v>15</v>
      </c>
      <c r="T32">
        <v>61</v>
      </c>
      <c r="U32">
        <v>45.6</v>
      </c>
      <c r="V32">
        <v>500</v>
      </c>
      <c r="W32">
        <v>12</v>
      </c>
    </row>
    <row r="33" spans="1:23" x14ac:dyDescent="0.2">
      <c r="A33" s="15" t="s">
        <v>82</v>
      </c>
      <c r="B33" s="15" t="s">
        <v>137</v>
      </c>
      <c r="C33" s="10">
        <v>51.823616999999999</v>
      </c>
      <c r="D33" s="10">
        <v>-1.3056000000000001</v>
      </c>
      <c r="E33">
        <v>6</v>
      </c>
      <c r="F33">
        <v>3</v>
      </c>
      <c r="G33">
        <f t="shared" si="0"/>
        <v>18</v>
      </c>
      <c r="H33">
        <v>87</v>
      </c>
      <c r="I33" s="15">
        <v>7</v>
      </c>
      <c r="J33" s="15">
        <v>8</v>
      </c>
      <c r="K33">
        <v>179</v>
      </c>
      <c r="L33" t="s">
        <v>83</v>
      </c>
      <c r="M33">
        <v>1.75</v>
      </c>
      <c r="N33">
        <v>2.25</v>
      </c>
      <c r="O33" t="s">
        <v>86</v>
      </c>
      <c r="P33" s="15">
        <v>4</v>
      </c>
      <c r="Q33" s="15">
        <v>1</v>
      </c>
      <c r="R33" s="15">
        <v>2</v>
      </c>
      <c r="S33" s="15">
        <v>7</v>
      </c>
      <c r="T33">
        <v>63</v>
      </c>
      <c r="U33">
        <v>30</v>
      </c>
      <c r="V33">
        <v>80</v>
      </c>
      <c r="W33">
        <v>4</v>
      </c>
    </row>
    <row r="34" spans="1:23" x14ac:dyDescent="0.2">
      <c r="A34" s="15" t="s">
        <v>87</v>
      </c>
      <c r="B34" s="15" t="s">
        <v>137</v>
      </c>
      <c r="C34" s="10">
        <v>51.822032999999998</v>
      </c>
      <c r="D34" s="10">
        <v>-1.30945</v>
      </c>
      <c r="E34">
        <v>6</v>
      </c>
      <c r="F34">
        <v>3</v>
      </c>
      <c r="G34">
        <f t="shared" si="0"/>
        <v>18</v>
      </c>
      <c r="H34">
        <v>58</v>
      </c>
      <c r="I34" s="15">
        <v>9</v>
      </c>
      <c r="J34" s="15">
        <v>10</v>
      </c>
      <c r="K34">
        <v>88</v>
      </c>
      <c r="L34" t="s">
        <v>88</v>
      </c>
      <c r="M34">
        <v>4.75</v>
      </c>
      <c r="N34">
        <v>3.75</v>
      </c>
      <c r="O34" t="s">
        <v>86</v>
      </c>
      <c r="P34" s="15">
        <v>5</v>
      </c>
      <c r="Q34" s="15">
        <v>2</v>
      </c>
      <c r="R34" s="15">
        <v>0</v>
      </c>
      <c r="S34" s="15">
        <v>7</v>
      </c>
      <c r="T34">
        <v>42</v>
      </c>
      <c r="U34">
        <v>21.6</v>
      </c>
      <c r="V34">
        <v>230</v>
      </c>
      <c r="W34">
        <v>4</v>
      </c>
    </row>
    <row r="35" spans="1:23" x14ac:dyDescent="0.2">
      <c r="A35" s="15" t="s">
        <v>90</v>
      </c>
      <c r="B35" s="15" t="s">
        <v>137</v>
      </c>
      <c r="C35" s="10">
        <v>51.820900000000002</v>
      </c>
      <c r="D35" s="10">
        <v>-1.3093669999999999</v>
      </c>
      <c r="E35">
        <v>2</v>
      </c>
      <c r="F35">
        <v>2</v>
      </c>
      <c r="G35">
        <f t="shared" si="0"/>
        <v>4</v>
      </c>
      <c r="H35">
        <v>65</v>
      </c>
      <c r="I35" s="15">
        <v>4</v>
      </c>
      <c r="J35" s="15">
        <v>5</v>
      </c>
      <c r="K35">
        <v>255</v>
      </c>
      <c r="L35" t="s">
        <v>92</v>
      </c>
      <c r="M35">
        <v>2.25</v>
      </c>
      <c r="N35">
        <v>1.75</v>
      </c>
      <c r="O35" t="s">
        <v>86</v>
      </c>
      <c r="P35" s="15">
        <v>3</v>
      </c>
      <c r="Q35" s="15">
        <v>3</v>
      </c>
      <c r="R35" s="15">
        <v>0</v>
      </c>
      <c r="S35" s="15">
        <v>6</v>
      </c>
      <c r="T35">
        <v>68</v>
      </c>
      <c r="U35">
        <v>34.4</v>
      </c>
      <c r="V35">
        <v>120</v>
      </c>
      <c r="W35">
        <v>7</v>
      </c>
    </row>
    <row r="36" spans="1:23" x14ac:dyDescent="0.2">
      <c r="A36" s="15" t="s">
        <v>93</v>
      </c>
      <c r="B36" s="15" t="s">
        <v>137</v>
      </c>
      <c r="C36" s="10">
        <v>51.818367000000002</v>
      </c>
      <c r="D36" s="10">
        <v>-1.3125830000000001</v>
      </c>
      <c r="E36">
        <v>6</v>
      </c>
      <c r="F36">
        <v>2</v>
      </c>
      <c r="G36">
        <f t="shared" si="0"/>
        <v>12</v>
      </c>
      <c r="H36">
        <v>79</v>
      </c>
      <c r="I36" s="15">
        <v>3</v>
      </c>
      <c r="J36" s="15">
        <v>5</v>
      </c>
      <c r="K36">
        <v>255</v>
      </c>
      <c r="L36" t="s">
        <v>92</v>
      </c>
      <c r="M36">
        <v>3.25</v>
      </c>
      <c r="N36">
        <v>2.25</v>
      </c>
      <c r="O36" t="s">
        <v>94</v>
      </c>
      <c r="P36" s="15">
        <v>5</v>
      </c>
      <c r="Q36" s="15">
        <v>2</v>
      </c>
      <c r="R36" s="15">
        <v>2</v>
      </c>
      <c r="S36" s="15">
        <v>9</v>
      </c>
      <c r="T36">
        <v>52</v>
      </c>
      <c r="U36">
        <v>28.4</v>
      </c>
      <c r="V36">
        <v>220</v>
      </c>
      <c r="W36">
        <v>4</v>
      </c>
    </row>
    <row r="37" spans="1:23" x14ac:dyDescent="0.2">
      <c r="A37" s="15" t="s">
        <v>95</v>
      </c>
      <c r="B37" s="15" t="s">
        <v>137</v>
      </c>
      <c r="C37" s="10">
        <v>51.817667</v>
      </c>
      <c r="D37" s="10">
        <v>-1.314683</v>
      </c>
      <c r="E37">
        <v>4</v>
      </c>
      <c r="F37">
        <v>3</v>
      </c>
      <c r="G37">
        <f t="shared" si="0"/>
        <v>12</v>
      </c>
      <c r="H37">
        <v>36</v>
      </c>
      <c r="I37" s="15">
        <v>4</v>
      </c>
      <c r="J37" s="15">
        <v>6</v>
      </c>
      <c r="K37">
        <v>2</v>
      </c>
      <c r="L37" t="s">
        <v>97</v>
      </c>
      <c r="M37">
        <v>1.75</v>
      </c>
      <c r="N37">
        <v>1.75</v>
      </c>
      <c r="O37" t="s">
        <v>94</v>
      </c>
      <c r="P37" s="15">
        <v>7</v>
      </c>
      <c r="Q37" s="15">
        <v>1</v>
      </c>
      <c r="R37" s="15">
        <v>0</v>
      </c>
      <c r="S37" s="15">
        <v>8</v>
      </c>
      <c r="T37">
        <v>53</v>
      </c>
      <c r="U37">
        <v>24.2</v>
      </c>
      <c r="V37">
        <v>125</v>
      </c>
      <c r="W37">
        <v>5</v>
      </c>
    </row>
    <row r="38" spans="1:23" x14ac:dyDescent="0.2">
      <c r="A38" s="15" t="s">
        <v>98</v>
      </c>
      <c r="B38" s="15" t="s">
        <v>137</v>
      </c>
      <c r="C38" s="10">
        <v>51.817332999999998</v>
      </c>
      <c r="D38" s="10">
        <v>-1.3145</v>
      </c>
      <c r="E38">
        <v>6</v>
      </c>
      <c r="F38">
        <v>3</v>
      </c>
      <c r="G38">
        <f t="shared" si="0"/>
        <v>18</v>
      </c>
      <c r="H38">
        <v>88</v>
      </c>
      <c r="I38" s="15">
        <v>7</v>
      </c>
      <c r="J38" s="15">
        <v>8</v>
      </c>
      <c r="K38">
        <v>171</v>
      </c>
      <c r="L38" t="s">
        <v>83</v>
      </c>
      <c r="M38">
        <v>4.75</v>
      </c>
      <c r="N38">
        <v>3.75</v>
      </c>
      <c r="O38" t="s">
        <v>99</v>
      </c>
      <c r="P38" s="15">
        <v>2</v>
      </c>
      <c r="Q38" s="15">
        <v>1</v>
      </c>
      <c r="R38" s="15">
        <v>2</v>
      </c>
      <c r="S38" s="15">
        <v>5</v>
      </c>
      <c r="T38">
        <v>72</v>
      </c>
      <c r="U38">
        <v>44</v>
      </c>
      <c r="V38">
        <v>200</v>
      </c>
      <c r="W38">
        <v>8</v>
      </c>
    </row>
    <row r="39" spans="1:23" x14ac:dyDescent="0.2">
      <c r="A39" s="15" t="s">
        <v>105</v>
      </c>
      <c r="B39" s="15" t="s">
        <v>137</v>
      </c>
      <c r="C39" s="10">
        <v>51.817749999999997</v>
      </c>
      <c r="D39" s="10">
        <v>-1.310883</v>
      </c>
      <c r="E39">
        <v>4</v>
      </c>
      <c r="F39">
        <v>3</v>
      </c>
      <c r="G39">
        <f t="shared" si="0"/>
        <v>12</v>
      </c>
      <c r="H39">
        <v>31</v>
      </c>
      <c r="I39" s="15">
        <v>4</v>
      </c>
      <c r="J39" s="15">
        <v>8</v>
      </c>
      <c r="K39">
        <v>0</v>
      </c>
      <c r="L39" t="s">
        <v>97</v>
      </c>
      <c r="M39">
        <v>2.25</v>
      </c>
      <c r="N39">
        <v>1.75</v>
      </c>
      <c r="O39" t="s">
        <v>94</v>
      </c>
      <c r="P39" s="15">
        <v>6</v>
      </c>
      <c r="Q39" s="15">
        <v>1</v>
      </c>
      <c r="R39" s="15">
        <v>0</v>
      </c>
      <c r="S39" s="15">
        <v>7</v>
      </c>
      <c r="T39">
        <v>63</v>
      </c>
      <c r="U39">
        <v>23.2</v>
      </c>
      <c r="V39">
        <v>90</v>
      </c>
      <c r="W39">
        <v>4</v>
      </c>
    </row>
    <row r="40" spans="1:23" x14ac:dyDescent="0.2">
      <c r="A40" s="15" t="s">
        <v>106</v>
      </c>
      <c r="B40" s="15" t="s">
        <v>137</v>
      </c>
      <c r="C40" s="10">
        <v>51.816133000000001</v>
      </c>
      <c r="D40" s="10">
        <v>-1.3091330000000001</v>
      </c>
      <c r="E40">
        <v>4</v>
      </c>
      <c r="F40">
        <v>3</v>
      </c>
      <c r="G40">
        <f t="shared" si="0"/>
        <v>12</v>
      </c>
      <c r="H40">
        <v>43</v>
      </c>
      <c r="I40" s="15">
        <v>1</v>
      </c>
      <c r="J40" s="15">
        <v>4</v>
      </c>
      <c r="K40">
        <v>358</v>
      </c>
      <c r="L40" t="s">
        <v>97</v>
      </c>
      <c r="M40">
        <v>2.25</v>
      </c>
      <c r="N40">
        <v>2.25</v>
      </c>
      <c r="O40" t="s">
        <v>94</v>
      </c>
      <c r="P40" s="15">
        <v>7</v>
      </c>
      <c r="Q40" s="15">
        <v>1</v>
      </c>
      <c r="R40" s="15">
        <v>0</v>
      </c>
      <c r="S40" s="15">
        <v>8</v>
      </c>
      <c r="T40">
        <v>41</v>
      </c>
      <c r="U40">
        <v>16.399999999999999</v>
      </c>
      <c r="V40">
        <v>80</v>
      </c>
      <c r="W40">
        <v>5</v>
      </c>
    </row>
    <row r="41" spans="1:23" x14ac:dyDescent="0.2">
      <c r="A41" s="15" t="s">
        <v>107</v>
      </c>
      <c r="B41" s="15" t="s">
        <v>137</v>
      </c>
      <c r="C41" s="10">
        <v>51.815100000000001</v>
      </c>
      <c r="D41" s="10">
        <v>-1.307833</v>
      </c>
      <c r="E41">
        <v>4</v>
      </c>
      <c r="F41">
        <v>3</v>
      </c>
      <c r="G41">
        <f t="shared" si="0"/>
        <v>12</v>
      </c>
      <c r="H41">
        <v>48</v>
      </c>
      <c r="I41" s="15">
        <v>7</v>
      </c>
      <c r="J41" s="15">
        <v>7</v>
      </c>
      <c r="K41">
        <v>4</v>
      </c>
      <c r="L41" t="s">
        <v>97</v>
      </c>
      <c r="M41">
        <v>1.75</v>
      </c>
      <c r="N41">
        <v>1.75</v>
      </c>
      <c r="O41" t="s">
        <v>108</v>
      </c>
      <c r="P41" s="15">
        <v>4</v>
      </c>
      <c r="Q41" s="15">
        <v>2</v>
      </c>
      <c r="R41" s="15">
        <v>0</v>
      </c>
      <c r="S41" s="15">
        <v>6</v>
      </c>
      <c r="T41">
        <v>79</v>
      </c>
      <c r="U41">
        <v>35.4</v>
      </c>
      <c r="V41">
        <v>290</v>
      </c>
      <c r="W41">
        <v>14</v>
      </c>
    </row>
    <row r="42" spans="1:23" x14ac:dyDescent="0.2">
      <c r="A42" s="15" t="s">
        <v>109</v>
      </c>
      <c r="B42" s="15" t="s">
        <v>137</v>
      </c>
      <c r="C42" s="10">
        <v>51.816766999999999</v>
      </c>
      <c r="D42" s="10">
        <v>-1.3060499999999999</v>
      </c>
      <c r="E42">
        <v>2</v>
      </c>
      <c r="F42">
        <v>2</v>
      </c>
      <c r="G42">
        <f t="shared" si="0"/>
        <v>4</v>
      </c>
      <c r="H42">
        <v>31</v>
      </c>
      <c r="I42" s="15">
        <v>4</v>
      </c>
      <c r="J42" s="15">
        <v>6</v>
      </c>
      <c r="K42">
        <v>268</v>
      </c>
      <c r="L42" t="s">
        <v>92</v>
      </c>
      <c r="M42">
        <v>1.25</v>
      </c>
      <c r="N42">
        <v>1.75</v>
      </c>
      <c r="O42" t="s">
        <v>99</v>
      </c>
      <c r="P42" s="15">
        <v>2</v>
      </c>
      <c r="Q42" s="15">
        <v>1</v>
      </c>
      <c r="R42" s="15">
        <v>0</v>
      </c>
      <c r="S42" s="15">
        <v>3</v>
      </c>
      <c r="T42">
        <v>47</v>
      </c>
      <c r="U42">
        <v>32</v>
      </c>
      <c r="V42">
        <v>500</v>
      </c>
      <c r="W42">
        <v>5</v>
      </c>
    </row>
    <row r="43" spans="1:23" x14ac:dyDescent="0.2">
      <c r="A43" s="15" t="s">
        <v>111</v>
      </c>
      <c r="B43" s="15" t="s">
        <v>137</v>
      </c>
      <c r="C43" s="10">
        <v>51.816682999999998</v>
      </c>
      <c r="D43" s="10">
        <v>-1.305917</v>
      </c>
      <c r="E43">
        <v>2</v>
      </c>
      <c r="F43">
        <v>2</v>
      </c>
      <c r="G43">
        <f t="shared" si="0"/>
        <v>4</v>
      </c>
      <c r="H43">
        <v>79</v>
      </c>
      <c r="I43" s="15">
        <v>7</v>
      </c>
      <c r="J43" s="15">
        <v>8</v>
      </c>
      <c r="K43">
        <v>84</v>
      </c>
      <c r="L43" t="s">
        <v>88</v>
      </c>
      <c r="M43">
        <v>1.25</v>
      </c>
      <c r="N43">
        <v>1.25</v>
      </c>
      <c r="O43" t="s">
        <v>99</v>
      </c>
      <c r="P43" s="15">
        <v>2</v>
      </c>
      <c r="Q43" s="15">
        <v>2</v>
      </c>
      <c r="R43" s="15">
        <v>0</v>
      </c>
      <c r="S43" s="15">
        <v>4</v>
      </c>
      <c r="T43">
        <v>104</v>
      </c>
      <c r="U43">
        <v>48</v>
      </c>
      <c r="V43">
        <v>500</v>
      </c>
      <c r="W43">
        <v>4</v>
      </c>
    </row>
    <row r="44" spans="1:23" x14ac:dyDescent="0.2">
      <c r="A44" s="15" t="s">
        <v>112</v>
      </c>
      <c r="B44" s="15" t="s">
        <v>137</v>
      </c>
      <c r="C44" s="10">
        <v>51.815632999999998</v>
      </c>
      <c r="D44" s="10">
        <v>-1.2991999999999999</v>
      </c>
      <c r="E44">
        <v>4</v>
      </c>
      <c r="F44">
        <v>3</v>
      </c>
      <c r="G44">
        <f t="shared" si="0"/>
        <v>12</v>
      </c>
      <c r="H44">
        <v>78</v>
      </c>
      <c r="I44" s="15">
        <v>9</v>
      </c>
      <c r="J44" s="15">
        <v>7</v>
      </c>
      <c r="K44">
        <v>179</v>
      </c>
      <c r="L44" t="s">
        <v>83</v>
      </c>
      <c r="M44">
        <v>1.75</v>
      </c>
      <c r="N44">
        <v>2.25</v>
      </c>
      <c r="O44" t="s">
        <v>113</v>
      </c>
      <c r="P44" s="15">
        <v>4</v>
      </c>
      <c r="Q44" s="15">
        <v>1</v>
      </c>
      <c r="R44" s="15">
        <v>0</v>
      </c>
      <c r="S44" s="15">
        <v>5</v>
      </c>
      <c r="T44">
        <v>92</v>
      </c>
      <c r="U44">
        <v>43</v>
      </c>
      <c r="V44">
        <v>95</v>
      </c>
      <c r="W44">
        <v>9</v>
      </c>
    </row>
    <row r="45" spans="1:23" x14ac:dyDescent="0.2">
      <c r="A45" s="15" t="s">
        <v>114</v>
      </c>
      <c r="B45" s="15" t="s">
        <v>137</v>
      </c>
      <c r="C45" s="10">
        <v>51.815617000000003</v>
      </c>
      <c r="D45" s="10">
        <v>-1.3024169999999999</v>
      </c>
      <c r="E45">
        <v>6</v>
      </c>
      <c r="F45">
        <v>3</v>
      </c>
      <c r="G45">
        <f t="shared" si="0"/>
        <v>18</v>
      </c>
      <c r="H45">
        <v>92</v>
      </c>
      <c r="I45" s="15">
        <v>5</v>
      </c>
      <c r="J45" s="15">
        <v>8</v>
      </c>
      <c r="K45">
        <v>182</v>
      </c>
      <c r="L45" t="s">
        <v>83</v>
      </c>
      <c r="M45">
        <v>2.25</v>
      </c>
      <c r="N45">
        <v>2.25</v>
      </c>
      <c r="O45" t="s">
        <v>115</v>
      </c>
      <c r="P45" s="15">
        <v>3</v>
      </c>
      <c r="Q45" s="15">
        <v>1</v>
      </c>
      <c r="R45" s="15">
        <v>2</v>
      </c>
      <c r="S45" s="15">
        <v>6</v>
      </c>
      <c r="T45">
        <v>82</v>
      </c>
      <c r="U45">
        <v>26.4</v>
      </c>
      <c r="V45">
        <v>500</v>
      </c>
      <c r="W45">
        <v>7</v>
      </c>
    </row>
    <row r="46" spans="1:23" x14ac:dyDescent="0.2">
      <c r="A46" s="15" t="s">
        <v>116</v>
      </c>
      <c r="B46" s="15" t="s">
        <v>137</v>
      </c>
      <c r="C46" s="10">
        <v>51.813732999999999</v>
      </c>
      <c r="D46" s="10">
        <v>-1.3007169999999999</v>
      </c>
      <c r="E46">
        <v>4</v>
      </c>
      <c r="F46">
        <v>2</v>
      </c>
      <c r="G46">
        <f t="shared" si="0"/>
        <v>8</v>
      </c>
      <c r="H46">
        <v>69</v>
      </c>
      <c r="I46" s="15">
        <v>7</v>
      </c>
      <c r="J46" s="15">
        <v>10</v>
      </c>
      <c r="K46">
        <v>165</v>
      </c>
      <c r="L46" t="s">
        <v>83</v>
      </c>
      <c r="M46">
        <v>2.75</v>
      </c>
      <c r="N46">
        <v>1.75</v>
      </c>
      <c r="O46" t="s">
        <v>86</v>
      </c>
      <c r="P46" s="15">
        <v>3</v>
      </c>
      <c r="Q46" s="15">
        <v>1</v>
      </c>
      <c r="R46" s="15">
        <v>0</v>
      </c>
      <c r="S46" s="15">
        <v>4</v>
      </c>
      <c r="T46">
        <v>45</v>
      </c>
      <c r="U46">
        <v>24.6</v>
      </c>
      <c r="V46">
        <v>200</v>
      </c>
      <c r="W46">
        <v>5</v>
      </c>
    </row>
    <row r="47" spans="1:23" x14ac:dyDescent="0.2">
      <c r="A47" s="15" t="s">
        <v>117</v>
      </c>
      <c r="B47" s="15" t="s">
        <v>137</v>
      </c>
      <c r="C47" s="10">
        <v>51.810867000000002</v>
      </c>
      <c r="D47" s="10">
        <v>-1.3022</v>
      </c>
      <c r="E47">
        <v>8</v>
      </c>
      <c r="F47">
        <v>3</v>
      </c>
      <c r="G47">
        <f t="shared" si="0"/>
        <v>24</v>
      </c>
      <c r="H47">
        <v>37</v>
      </c>
      <c r="I47" s="15">
        <v>3</v>
      </c>
      <c r="J47" s="15">
        <v>7</v>
      </c>
      <c r="K47">
        <v>314</v>
      </c>
      <c r="L47" t="s">
        <v>103</v>
      </c>
      <c r="M47">
        <v>4.25</v>
      </c>
      <c r="N47">
        <v>3.25</v>
      </c>
      <c r="O47" t="s">
        <v>86</v>
      </c>
      <c r="P47" s="15">
        <v>3</v>
      </c>
      <c r="Q47" s="15">
        <v>1</v>
      </c>
      <c r="R47" s="15">
        <v>2</v>
      </c>
      <c r="S47" s="15">
        <v>6</v>
      </c>
      <c r="T47">
        <v>113</v>
      </c>
      <c r="U47">
        <v>68.400000000000006</v>
      </c>
      <c r="V47">
        <v>390</v>
      </c>
      <c r="W47">
        <v>5</v>
      </c>
    </row>
    <row r="48" spans="1:23" x14ac:dyDescent="0.2">
      <c r="A48" s="15" t="s">
        <v>120</v>
      </c>
      <c r="B48" s="15" t="s">
        <v>137</v>
      </c>
      <c r="C48" s="10">
        <v>51.816716999999997</v>
      </c>
      <c r="D48" s="10">
        <v>-1.293917</v>
      </c>
      <c r="E48">
        <v>8</v>
      </c>
      <c r="F48">
        <v>2</v>
      </c>
      <c r="G48">
        <f t="shared" si="0"/>
        <v>16</v>
      </c>
      <c r="H48">
        <v>35</v>
      </c>
      <c r="I48" s="15">
        <v>4</v>
      </c>
      <c r="J48" s="15">
        <v>8</v>
      </c>
      <c r="K48">
        <v>174</v>
      </c>
      <c r="L48" t="s">
        <v>83</v>
      </c>
      <c r="M48">
        <v>3.75</v>
      </c>
      <c r="N48">
        <v>2.25</v>
      </c>
      <c r="O48" t="s">
        <v>121</v>
      </c>
      <c r="P48" s="15">
        <v>3</v>
      </c>
      <c r="Q48" s="15">
        <v>1</v>
      </c>
      <c r="R48" s="15">
        <v>2</v>
      </c>
      <c r="S48" s="15">
        <v>6</v>
      </c>
      <c r="T48">
        <v>167</v>
      </c>
      <c r="U48">
        <v>104.8</v>
      </c>
      <c r="V48">
        <v>60</v>
      </c>
      <c r="W48">
        <v>7</v>
      </c>
    </row>
    <row r="49" spans="1:23" x14ac:dyDescent="0.2">
      <c r="A49" s="15" t="s">
        <v>122</v>
      </c>
      <c r="B49" s="15" t="s">
        <v>137</v>
      </c>
      <c r="C49" s="10">
        <v>51.815533000000002</v>
      </c>
      <c r="D49" s="10">
        <v>-1.2947500000000001</v>
      </c>
      <c r="E49">
        <v>6</v>
      </c>
      <c r="F49">
        <v>3</v>
      </c>
      <c r="G49">
        <f t="shared" si="0"/>
        <v>18</v>
      </c>
      <c r="H49">
        <v>52</v>
      </c>
      <c r="I49" s="15">
        <v>7</v>
      </c>
      <c r="J49" s="15">
        <v>7</v>
      </c>
      <c r="K49">
        <v>350</v>
      </c>
      <c r="L49" t="s">
        <v>97</v>
      </c>
      <c r="M49">
        <v>3.75</v>
      </c>
      <c r="N49">
        <v>2.25</v>
      </c>
      <c r="O49" t="s">
        <v>121</v>
      </c>
      <c r="P49" s="15">
        <v>5</v>
      </c>
      <c r="Q49" s="15">
        <v>1</v>
      </c>
      <c r="R49" s="15">
        <v>1</v>
      </c>
      <c r="S49" s="15">
        <v>7</v>
      </c>
      <c r="T49">
        <v>67</v>
      </c>
      <c r="U49">
        <v>41.4</v>
      </c>
      <c r="V49">
        <v>65</v>
      </c>
      <c r="W49">
        <v>9</v>
      </c>
    </row>
    <row r="50" spans="1:23" x14ac:dyDescent="0.2">
      <c r="A50" s="15" t="s">
        <v>123</v>
      </c>
      <c r="B50" s="15" t="s">
        <v>137</v>
      </c>
      <c r="C50" s="10">
        <v>51.815832999999998</v>
      </c>
      <c r="D50" s="10">
        <v>-1.29295</v>
      </c>
      <c r="E50">
        <v>6</v>
      </c>
      <c r="F50">
        <v>3</v>
      </c>
      <c r="G50">
        <f t="shared" si="0"/>
        <v>18</v>
      </c>
      <c r="H50">
        <v>93</v>
      </c>
      <c r="I50" s="15">
        <v>7</v>
      </c>
      <c r="J50" s="15">
        <v>9</v>
      </c>
      <c r="K50">
        <v>161</v>
      </c>
      <c r="L50" t="s">
        <v>124</v>
      </c>
      <c r="M50">
        <v>2.75</v>
      </c>
      <c r="N50">
        <v>2.25</v>
      </c>
      <c r="O50" t="s">
        <v>121</v>
      </c>
      <c r="P50" s="15">
        <v>5</v>
      </c>
      <c r="Q50" s="15">
        <v>2</v>
      </c>
      <c r="R50" s="15">
        <v>1</v>
      </c>
      <c r="S50" s="15">
        <v>8</v>
      </c>
      <c r="T50">
        <v>127</v>
      </c>
      <c r="U50">
        <v>44.8</v>
      </c>
      <c r="V50">
        <v>110</v>
      </c>
      <c r="W50">
        <v>9</v>
      </c>
    </row>
    <row r="51" spans="1:23" x14ac:dyDescent="0.2">
      <c r="A51" s="15" t="s">
        <v>125</v>
      </c>
      <c r="B51" s="15" t="s">
        <v>137</v>
      </c>
      <c r="C51" s="10">
        <v>51.815133000000003</v>
      </c>
      <c r="D51" s="10">
        <v>-1.2927</v>
      </c>
      <c r="E51">
        <v>8</v>
      </c>
      <c r="F51">
        <v>3</v>
      </c>
      <c r="G51">
        <f t="shared" si="0"/>
        <v>24</v>
      </c>
      <c r="H51">
        <v>48</v>
      </c>
      <c r="I51" s="15">
        <v>6</v>
      </c>
      <c r="J51" s="15">
        <v>8</v>
      </c>
      <c r="K51">
        <v>287</v>
      </c>
      <c r="L51" t="s">
        <v>92</v>
      </c>
      <c r="M51">
        <v>4.75</v>
      </c>
      <c r="N51">
        <v>3.75</v>
      </c>
      <c r="O51" t="s">
        <v>121</v>
      </c>
      <c r="P51" s="15">
        <v>5</v>
      </c>
      <c r="Q51" s="15">
        <v>1</v>
      </c>
      <c r="R51" s="15">
        <v>3</v>
      </c>
      <c r="S51" s="15">
        <v>9</v>
      </c>
      <c r="T51">
        <v>76</v>
      </c>
      <c r="U51">
        <v>42.2</v>
      </c>
      <c r="V51">
        <v>110</v>
      </c>
      <c r="W51">
        <v>3</v>
      </c>
    </row>
    <row r="52" spans="1:23" x14ac:dyDescent="0.2">
      <c r="A52" s="15" t="s">
        <v>126</v>
      </c>
      <c r="B52" s="15" t="s">
        <v>137</v>
      </c>
      <c r="C52" s="10">
        <v>51.815100000000001</v>
      </c>
      <c r="D52" s="10">
        <v>-1.2924329999999999</v>
      </c>
      <c r="E52">
        <v>8</v>
      </c>
      <c r="F52">
        <v>3</v>
      </c>
      <c r="G52">
        <f t="shared" si="0"/>
        <v>24</v>
      </c>
      <c r="H52">
        <v>99</v>
      </c>
      <c r="I52" s="15">
        <v>9</v>
      </c>
      <c r="J52" s="15">
        <v>9</v>
      </c>
      <c r="K52">
        <v>117</v>
      </c>
      <c r="L52" t="s">
        <v>80</v>
      </c>
      <c r="M52">
        <v>4.75</v>
      </c>
      <c r="N52">
        <v>3.75</v>
      </c>
      <c r="O52" t="s">
        <v>113</v>
      </c>
      <c r="P52" s="15">
        <v>5</v>
      </c>
      <c r="Q52" s="15">
        <v>1</v>
      </c>
      <c r="R52" s="15">
        <v>2</v>
      </c>
      <c r="S52" s="15">
        <v>8</v>
      </c>
      <c r="T52">
        <v>36</v>
      </c>
      <c r="U52">
        <v>15</v>
      </c>
      <c r="V52">
        <v>105</v>
      </c>
      <c r="W52">
        <v>8</v>
      </c>
    </row>
    <row r="53" spans="1:23" x14ac:dyDescent="0.2">
      <c r="A53" s="15" t="s">
        <v>127</v>
      </c>
      <c r="B53" s="15" t="s">
        <v>137</v>
      </c>
      <c r="C53" s="10">
        <v>51.812600000000003</v>
      </c>
      <c r="D53" s="10">
        <v>-1.293833</v>
      </c>
      <c r="E53">
        <v>8</v>
      </c>
      <c r="F53">
        <v>3</v>
      </c>
      <c r="G53">
        <f t="shared" si="0"/>
        <v>24</v>
      </c>
      <c r="H53">
        <v>75</v>
      </c>
      <c r="I53" s="15">
        <v>8</v>
      </c>
      <c r="J53" s="15">
        <v>10</v>
      </c>
      <c r="K53">
        <v>102</v>
      </c>
      <c r="L53" t="s">
        <v>88</v>
      </c>
      <c r="M53">
        <v>3.75</v>
      </c>
      <c r="N53">
        <v>3.25</v>
      </c>
      <c r="O53" t="s">
        <v>113</v>
      </c>
      <c r="P53" s="15">
        <v>4</v>
      </c>
      <c r="Q53" s="15">
        <v>2</v>
      </c>
      <c r="R53" s="15">
        <v>2</v>
      </c>
      <c r="S53" s="15">
        <v>8</v>
      </c>
      <c r="T53">
        <v>58</v>
      </c>
      <c r="U53">
        <v>18.2</v>
      </c>
      <c r="V53">
        <v>125</v>
      </c>
      <c r="W53">
        <v>7</v>
      </c>
    </row>
    <row r="54" spans="1:23" x14ac:dyDescent="0.2">
      <c r="A54" s="15" t="s">
        <v>128</v>
      </c>
      <c r="B54" s="15" t="s">
        <v>137</v>
      </c>
      <c r="C54" s="10">
        <v>51.809583000000003</v>
      </c>
      <c r="D54" s="10">
        <v>-1.2956669999999999</v>
      </c>
      <c r="E54">
        <v>8</v>
      </c>
      <c r="F54">
        <v>3</v>
      </c>
      <c r="G54">
        <f t="shared" si="0"/>
        <v>24</v>
      </c>
      <c r="H54">
        <v>94</v>
      </c>
      <c r="I54" s="15">
        <v>9</v>
      </c>
      <c r="J54" s="15">
        <v>9</v>
      </c>
      <c r="K54">
        <v>98</v>
      </c>
      <c r="L54" t="s">
        <v>88</v>
      </c>
      <c r="M54">
        <v>3.25</v>
      </c>
      <c r="N54">
        <v>3.25</v>
      </c>
      <c r="O54" t="s">
        <v>113</v>
      </c>
      <c r="P54" s="15">
        <v>3</v>
      </c>
      <c r="Q54" s="15">
        <v>1</v>
      </c>
      <c r="R54" s="15">
        <v>4</v>
      </c>
      <c r="S54" s="15">
        <v>8</v>
      </c>
      <c r="T54">
        <v>43</v>
      </c>
      <c r="U54">
        <v>20.399999999999999</v>
      </c>
      <c r="V54">
        <v>100</v>
      </c>
      <c r="W54">
        <v>9</v>
      </c>
    </row>
    <row r="55" spans="1:23" x14ac:dyDescent="0.2">
      <c r="A55" s="15" t="s">
        <v>129</v>
      </c>
      <c r="B55" s="15" t="s">
        <v>137</v>
      </c>
      <c r="C55" s="10">
        <v>51.807749999999999</v>
      </c>
      <c r="D55" s="10">
        <v>-1.29295</v>
      </c>
      <c r="E55">
        <v>8</v>
      </c>
      <c r="F55">
        <v>2</v>
      </c>
      <c r="G55">
        <f t="shared" si="0"/>
        <v>16</v>
      </c>
      <c r="H55">
        <v>72</v>
      </c>
      <c r="I55" s="15">
        <v>6</v>
      </c>
      <c r="J55">
        <v>10</v>
      </c>
      <c r="K55">
        <v>285</v>
      </c>
      <c r="L55" t="s">
        <v>92</v>
      </c>
      <c r="M55">
        <v>3.25</v>
      </c>
      <c r="N55">
        <v>3.75</v>
      </c>
      <c r="O55" t="s">
        <v>113</v>
      </c>
      <c r="P55" s="15">
        <v>6</v>
      </c>
      <c r="Q55" s="15">
        <v>1</v>
      </c>
      <c r="R55" s="15">
        <v>2</v>
      </c>
      <c r="S55" s="15">
        <v>9</v>
      </c>
      <c r="T55">
        <v>49</v>
      </c>
      <c r="U55">
        <v>21.8</v>
      </c>
      <c r="V55">
        <v>50</v>
      </c>
      <c r="W55">
        <v>6</v>
      </c>
    </row>
    <row r="56" spans="1:23" x14ac:dyDescent="0.2">
      <c r="A56" s="15" t="s">
        <v>130</v>
      </c>
      <c r="B56" s="15" t="s">
        <v>137</v>
      </c>
      <c r="C56" s="10">
        <v>51.808599999999998</v>
      </c>
      <c r="D56" s="10">
        <v>-1.288683</v>
      </c>
      <c r="E56">
        <v>6</v>
      </c>
      <c r="F56">
        <v>3</v>
      </c>
      <c r="G56">
        <f t="shared" si="0"/>
        <v>18</v>
      </c>
      <c r="H56">
        <v>55</v>
      </c>
      <c r="I56" s="15">
        <v>5</v>
      </c>
      <c r="J56">
        <v>9</v>
      </c>
      <c r="K56">
        <v>274</v>
      </c>
      <c r="L56" t="s">
        <v>92</v>
      </c>
      <c r="M56">
        <v>3.25</v>
      </c>
      <c r="N56">
        <v>3.75</v>
      </c>
      <c r="O56" t="s">
        <v>113</v>
      </c>
      <c r="P56" s="15">
        <v>4</v>
      </c>
      <c r="Q56" s="15">
        <v>1</v>
      </c>
      <c r="R56" s="15">
        <v>3</v>
      </c>
      <c r="S56" s="15">
        <v>8</v>
      </c>
      <c r="T56">
        <v>55</v>
      </c>
      <c r="U56">
        <v>29.2</v>
      </c>
      <c r="V56">
        <v>70</v>
      </c>
      <c r="W56">
        <v>6</v>
      </c>
    </row>
    <row r="57" spans="1:23" x14ac:dyDescent="0.2">
      <c r="A57" s="15" t="s">
        <v>131</v>
      </c>
      <c r="B57" s="15" t="s">
        <v>137</v>
      </c>
      <c r="C57" s="10">
        <v>51.811216999999999</v>
      </c>
      <c r="D57" s="10">
        <v>-1.2882830000000001</v>
      </c>
      <c r="E57">
        <v>6</v>
      </c>
      <c r="F57">
        <v>3</v>
      </c>
      <c r="G57">
        <f t="shared" si="0"/>
        <v>18</v>
      </c>
      <c r="H57">
        <v>53</v>
      </c>
      <c r="I57" s="15">
        <v>3</v>
      </c>
      <c r="J57">
        <v>6</v>
      </c>
      <c r="K57">
        <v>278</v>
      </c>
      <c r="L57" t="s">
        <v>92</v>
      </c>
      <c r="M57">
        <v>2.75</v>
      </c>
      <c r="N57">
        <v>3.25</v>
      </c>
      <c r="O57" t="s">
        <v>113</v>
      </c>
      <c r="P57" s="15">
        <v>2</v>
      </c>
      <c r="Q57" s="15">
        <v>2</v>
      </c>
      <c r="R57" s="15">
        <v>1</v>
      </c>
      <c r="S57" s="15">
        <v>5</v>
      </c>
      <c r="T57">
        <v>53</v>
      </c>
      <c r="U57">
        <v>27.6</v>
      </c>
      <c r="V57">
        <v>105</v>
      </c>
      <c r="W57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2358-D03C-0343-B1ED-0EFCE631E3C3}">
  <dimension ref="A1:AC57"/>
  <sheetViews>
    <sheetView workbookViewId="0">
      <selection activeCell="Z8" sqref="Z8"/>
    </sheetView>
  </sheetViews>
  <sheetFormatPr baseColWidth="10" defaultRowHeight="16" x14ac:dyDescent="0.2"/>
  <sheetData>
    <row r="1" spans="1:29" s="1" customFormat="1" ht="164" x14ac:dyDescent="0.2">
      <c r="A1" s="14" t="s">
        <v>0</v>
      </c>
      <c r="B1" s="14" t="s">
        <v>134</v>
      </c>
      <c r="C1" s="25" t="s">
        <v>1</v>
      </c>
      <c r="D1" s="25" t="s">
        <v>2</v>
      </c>
      <c r="E1" s="17" t="s">
        <v>5</v>
      </c>
      <c r="F1" s="17" t="s">
        <v>6</v>
      </c>
      <c r="G1" s="17" t="s">
        <v>7</v>
      </c>
      <c r="H1" s="17" t="s">
        <v>324</v>
      </c>
      <c r="I1" s="17" t="s">
        <v>325</v>
      </c>
      <c r="J1" s="17" t="s">
        <v>284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4" t="s">
        <v>285</v>
      </c>
      <c r="Q1" s="14" t="s">
        <v>286</v>
      </c>
      <c r="R1" s="14" t="s">
        <v>287</v>
      </c>
      <c r="S1" s="14" t="s">
        <v>288</v>
      </c>
      <c r="T1" s="14" t="s">
        <v>289</v>
      </c>
      <c r="U1" s="14" t="s">
        <v>290</v>
      </c>
      <c r="V1" s="68" t="s">
        <v>291</v>
      </c>
      <c r="W1" s="69" t="s">
        <v>292</v>
      </c>
      <c r="AC1" s="14"/>
    </row>
    <row r="2" spans="1:29" x14ac:dyDescent="0.2">
      <c r="A2" s="15" t="s">
        <v>72</v>
      </c>
      <c r="B2" s="15" t="s">
        <v>135</v>
      </c>
      <c r="C2" s="28">
        <v>51.822099999999999</v>
      </c>
      <c r="D2" s="28">
        <v>-1.2992330000000001</v>
      </c>
      <c r="E2" s="15">
        <v>6</v>
      </c>
      <c r="F2" s="15">
        <v>3</v>
      </c>
      <c r="G2" s="15">
        <v>18</v>
      </c>
      <c r="H2" s="15">
        <v>13</v>
      </c>
      <c r="I2" s="15">
        <v>8</v>
      </c>
      <c r="J2">
        <v>38</v>
      </c>
      <c r="K2" s="15">
        <v>225</v>
      </c>
      <c r="L2" s="15" t="s">
        <v>74</v>
      </c>
      <c r="M2" s="15">
        <v>3.25</v>
      </c>
      <c r="N2" s="15">
        <v>2.75</v>
      </c>
      <c r="O2" s="15" t="s">
        <v>77</v>
      </c>
      <c r="P2" s="15">
        <v>5</v>
      </c>
      <c r="Q2" s="15">
        <v>2</v>
      </c>
      <c r="R2" s="15">
        <v>2</v>
      </c>
      <c r="S2" s="15">
        <v>9</v>
      </c>
      <c r="T2" s="15">
        <v>91</v>
      </c>
      <c r="U2" s="15">
        <v>42</v>
      </c>
      <c r="V2" s="15">
        <v>320</v>
      </c>
      <c r="W2" s="15">
        <v>9</v>
      </c>
      <c r="AC2" s="15"/>
    </row>
    <row r="3" spans="1:29" x14ac:dyDescent="0.2">
      <c r="A3" s="15" t="s">
        <v>78</v>
      </c>
      <c r="B3" s="15" t="s">
        <v>135</v>
      </c>
      <c r="C3" s="28">
        <v>51.822516999999998</v>
      </c>
      <c r="D3" s="28">
        <v>-1.3022499999999999</v>
      </c>
      <c r="E3" s="15">
        <v>8</v>
      </c>
      <c r="F3" s="15">
        <v>3</v>
      </c>
      <c r="G3" s="15">
        <v>24</v>
      </c>
      <c r="H3" s="15">
        <v>16</v>
      </c>
      <c r="I3" s="15">
        <v>7</v>
      </c>
      <c r="J3">
        <v>73</v>
      </c>
      <c r="K3" s="15">
        <v>150</v>
      </c>
      <c r="L3" s="15" t="s">
        <v>80</v>
      </c>
      <c r="M3" s="15">
        <v>4.75</v>
      </c>
      <c r="N3" s="15">
        <v>3.25</v>
      </c>
      <c r="O3" s="15" t="s">
        <v>77</v>
      </c>
      <c r="P3" s="15">
        <v>9</v>
      </c>
      <c r="Q3" s="15">
        <v>2</v>
      </c>
      <c r="R3" s="15">
        <v>4</v>
      </c>
      <c r="S3" s="15">
        <v>15</v>
      </c>
      <c r="T3" s="15">
        <v>72</v>
      </c>
      <c r="U3" s="15">
        <v>27.6</v>
      </c>
      <c r="V3" s="15">
        <v>500</v>
      </c>
      <c r="W3" s="15">
        <v>15</v>
      </c>
      <c r="AC3" s="15"/>
    </row>
    <row r="4" spans="1:29" x14ac:dyDescent="0.2">
      <c r="A4" s="15" t="s">
        <v>82</v>
      </c>
      <c r="B4" s="15" t="s">
        <v>135</v>
      </c>
      <c r="C4" s="28">
        <v>51.823616999999999</v>
      </c>
      <c r="D4" s="28">
        <v>-1.3056000000000001</v>
      </c>
      <c r="E4" s="15">
        <v>6</v>
      </c>
      <c r="F4" s="15">
        <v>3</v>
      </c>
      <c r="G4" s="15">
        <v>18</v>
      </c>
      <c r="H4" s="15">
        <v>12</v>
      </c>
      <c r="I4" s="15">
        <v>5</v>
      </c>
      <c r="J4">
        <v>26</v>
      </c>
      <c r="K4" s="15">
        <v>179</v>
      </c>
      <c r="L4" s="15" t="s">
        <v>83</v>
      </c>
      <c r="M4" s="15">
        <v>1.75</v>
      </c>
      <c r="N4" s="15">
        <v>2.25</v>
      </c>
      <c r="O4" s="15" t="s">
        <v>86</v>
      </c>
      <c r="P4" s="15">
        <v>4</v>
      </c>
      <c r="Q4" s="15">
        <v>1</v>
      </c>
      <c r="R4" s="15">
        <v>2</v>
      </c>
      <c r="S4" s="15">
        <v>7</v>
      </c>
      <c r="T4" s="15">
        <v>52</v>
      </c>
      <c r="U4" s="15">
        <v>34.200000000000003</v>
      </c>
      <c r="V4" s="15">
        <v>100</v>
      </c>
      <c r="W4" s="15">
        <v>7</v>
      </c>
      <c r="AC4" s="15"/>
    </row>
    <row r="5" spans="1:29" x14ac:dyDescent="0.2">
      <c r="A5" s="15" t="s">
        <v>87</v>
      </c>
      <c r="B5" s="15" t="s">
        <v>135</v>
      </c>
      <c r="C5" s="28">
        <v>51.822032999999998</v>
      </c>
      <c r="D5" s="28">
        <v>-1.30945</v>
      </c>
      <c r="E5" s="15">
        <v>6</v>
      </c>
      <c r="F5" s="15">
        <v>3</v>
      </c>
      <c r="G5" s="15">
        <v>18</v>
      </c>
      <c r="H5" s="15">
        <v>11</v>
      </c>
      <c r="I5" s="15">
        <v>5</v>
      </c>
      <c r="J5">
        <v>53</v>
      </c>
      <c r="K5" s="15">
        <v>88</v>
      </c>
      <c r="L5" s="15" t="s">
        <v>88</v>
      </c>
      <c r="M5" s="15">
        <v>4.75</v>
      </c>
      <c r="N5" s="15">
        <v>3.75</v>
      </c>
      <c r="O5" s="15" t="s">
        <v>86</v>
      </c>
      <c r="P5" s="15">
        <v>5</v>
      </c>
      <c r="Q5" s="15">
        <v>2</v>
      </c>
      <c r="R5" s="15">
        <v>0</v>
      </c>
      <c r="S5" s="15">
        <v>7</v>
      </c>
      <c r="T5" s="15">
        <v>55</v>
      </c>
      <c r="U5" s="15">
        <v>20.399999999999999</v>
      </c>
      <c r="V5" s="15">
        <v>225</v>
      </c>
      <c r="W5" s="15">
        <v>4</v>
      </c>
      <c r="AC5" s="15"/>
    </row>
    <row r="6" spans="1:29" x14ac:dyDescent="0.2">
      <c r="A6" s="15" t="s">
        <v>90</v>
      </c>
      <c r="B6" s="15" t="s">
        <v>135</v>
      </c>
      <c r="C6" s="28">
        <v>51.820900000000002</v>
      </c>
      <c r="D6" s="28">
        <v>-1.3093669999999999</v>
      </c>
      <c r="E6" s="15">
        <v>2</v>
      </c>
      <c r="F6" s="15">
        <v>2</v>
      </c>
      <c r="G6" s="15">
        <v>4</v>
      </c>
      <c r="H6" s="15">
        <v>9</v>
      </c>
      <c r="I6" s="15">
        <v>7</v>
      </c>
      <c r="J6">
        <v>30</v>
      </c>
      <c r="K6" s="15">
        <v>255</v>
      </c>
      <c r="L6" s="15" t="s">
        <v>92</v>
      </c>
      <c r="M6" s="15">
        <v>2.25</v>
      </c>
      <c r="N6" s="15">
        <v>1.75</v>
      </c>
      <c r="O6" s="15" t="s">
        <v>86</v>
      </c>
      <c r="P6" s="15">
        <v>3</v>
      </c>
      <c r="Q6" s="15">
        <v>3</v>
      </c>
      <c r="R6" s="15">
        <v>0</v>
      </c>
      <c r="S6" s="15">
        <v>6</v>
      </c>
      <c r="T6" s="15">
        <v>91</v>
      </c>
      <c r="U6" s="15">
        <v>32.4</v>
      </c>
      <c r="V6" s="15">
        <v>130</v>
      </c>
      <c r="W6" s="15">
        <v>6</v>
      </c>
      <c r="AC6" s="15"/>
    </row>
    <row r="7" spans="1:29" x14ac:dyDescent="0.2">
      <c r="A7" s="15" t="s">
        <v>93</v>
      </c>
      <c r="B7" s="15" t="s">
        <v>135</v>
      </c>
      <c r="C7" s="28">
        <v>51.818367000000002</v>
      </c>
      <c r="D7" s="28">
        <v>-1.3125830000000001</v>
      </c>
      <c r="E7" s="15">
        <v>6</v>
      </c>
      <c r="F7" s="15">
        <v>2</v>
      </c>
      <c r="G7" s="15">
        <v>12</v>
      </c>
      <c r="H7" s="15">
        <v>7</v>
      </c>
      <c r="I7" s="15">
        <v>5</v>
      </c>
      <c r="J7">
        <v>34</v>
      </c>
      <c r="K7" s="15">
        <v>255</v>
      </c>
      <c r="L7" s="15" t="s">
        <v>92</v>
      </c>
      <c r="M7" s="15">
        <v>3.25</v>
      </c>
      <c r="N7" s="15">
        <v>2.25</v>
      </c>
      <c r="O7" s="15" t="s">
        <v>94</v>
      </c>
      <c r="P7" s="15">
        <v>5</v>
      </c>
      <c r="Q7" s="15">
        <v>2</v>
      </c>
      <c r="R7" s="15">
        <v>2</v>
      </c>
      <c r="S7" s="15">
        <v>9</v>
      </c>
      <c r="T7" s="15">
        <v>69</v>
      </c>
      <c r="U7" s="15">
        <v>12.6</v>
      </c>
      <c r="V7" s="15">
        <v>225</v>
      </c>
      <c r="W7" s="15">
        <v>4</v>
      </c>
      <c r="AC7" s="15"/>
    </row>
    <row r="8" spans="1:29" x14ac:dyDescent="0.2">
      <c r="A8" s="15" t="s">
        <v>95</v>
      </c>
      <c r="B8" s="15" t="s">
        <v>135</v>
      </c>
      <c r="C8" s="28">
        <v>51.817667</v>
      </c>
      <c r="D8" s="28">
        <v>-1.314683</v>
      </c>
      <c r="E8" s="15">
        <v>4</v>
      </c>
      <c r="F8" s="15">
        <v>3</v>
      </c>
      <c r="G8" s="15">
        <v>12</v>
      </c>
      <c r="H8" s="15">
        <v>5</v>
      </c>
      <c r="I8" s="15">
        <v>7</v>
      </c>
      <c r="J8">
        <v>39</v>
      </c>
      <c r="K8" s="15">
        <v>2</v>
      </c>
      <c r="L8" s="15" t="s">
        <v>97</v>
      </c>
      <c r="M8" s="15">
        <v>1.75</v>
      </c>
      <c r="N8" s="15">
        <v>1.75</v>
      </c>
      <c r="O8" s="15" t="s">
        <v>94</v>
      </c>
      <c r="P8" s="15">
        <v>7</v>
      </c>
      <c r="Q8" s="15">
        <v>1</v>
      </c>
      <c r="R8" s="15">
        <v>0</v>
      </c>
      <c r="S8" s="15">
        <v>8</v>
      </c>
      <c r="T8" s="15">
        <v>86</v>
      </c>
      <c r="U8" s="15">
        <v>20.2</v>
      </c>
      <c r="V8" s="15">
        <v>145</v>
      </c>
      <c r="W8" s="15">
        <v>7</v>
      </c>
      <c r="AC8" s="15"/>
    </row>
    <row r="9" spans="1:29" x14ac:dyDescent="0.2">
      <c r="A9" s="15" t="s">
        <v>98</v>
      </c>
      <c r="B9" s="15" t="s">
        <v>135</v>
      </c>
      <c r="C9" s="28">
        <v>51.817332999999998</v>
      </c>
      <c r="D9" s="28">
        <v>-1.3145</v>
      </c>
      <c r="E9" s="15">
        <v>6</v>
      </c>
      <c r="F9" s="15">
        <v>3</v>
      </c>
      <c r="G9" s="15">
        <v>18</v>
      </c>
      <c r="H9" s="15">
        <v>11</v>
      </c>
      <c r="I9" s="15">
        <v>6</v>
      </c>
      <c r="J9">
        <v>57</v>
      </c>
      <c r="K9" s="15">
        <v>171</v>
      </c>
      <c r="L9" s="15" t="s">
        <v>83</v>
      </c>
      <c r="M9" s="15">
        <v>4.75</v>
      </c>
      <c r="N9" s="15">
        <v>3.75</v>
      </c>
      <c r="O9" s="15" t="s">
        <v>99</v>
      </c>
      <c r="P9" s="15">
        <v>2</v>
      </c>
      <c r="Q9" s="15">
        <v>1</v>
      </c>
      <c r="R9" s="15">
        <v>2</v>
      </c>
      <c r="S9" s="15">
        <v>5</v>
      </c>
      <c r="T9" s="15">
        <v>121</v>
      </c>
      <c r="U9" s="15">
        <v>44</v>
      </c>
      <c r="V9" s="15">
        <v>195</v>
      </c>
      <c r="W9" s="15">
        <v>10</v>
      </c>
      <c r="AC9" s="15"/>
    </row>
    <row r="10" spans="1:29" x14ac:dyDescent="0.2">
      <c r="A10" s="15" t="s">
        <v>100</v>
      </c>
      <c r="B10" s="15" t="s">
        <v>135</v>
      </c>
      <c r="C10" s="28">
        <v>51.816682999999998</v>
      </c>
      <c r="D10" s="28">
        <v>-1.31325</v>
      </c>
      <c r="E10" s="15">
        <v>6</v>
      </c>
      <c r="F10" s="15">
        <v>2</v>
      </c>
      <c r="G10" s="15">
        <v>12</v>
      </c>
      <c r="H10" s="15">
        <v>7</v>
      </c>
      <c r="I10" s="15">
        <v>8</v>
      </c>
      <c r="J10">
        <v>26</v>
      </c>
      <c r="K10" s="15">
        <v>268</v>
      </c>
      <c r="L10" s="15" t="s">
        <v>92</v>
      </c>
      <c r="M10" s="15">
        <v>3.25</v>
      </c>
      <c r="N10" s="15">
        <v>3.75</v>
      </c>
      <c r="O10" s="15" t="s">
        <v>94</v>
      </c>
      <c r="P10" s="15">
        <v>4</v>
      </c>
      <c r="Q10" s="15">
        <v>2</v>
      </c>
      <c r="R10" s="15">
        <v>1</v>
      </c>
      <c r="S10" s="15">
        <v>7</v>
      </c>
      <c r="T10" s="15">
        <v>136</v>
      </c>
      <c r="U10" s="15">
        <v>61.2</v>
      </c>
      <c r="V10" s="15">
        <v>160</v>
      </c>
      <c r="W10" s="15">
        <v>10</v>
      </c>
      <c r="AC10" s="15"/>
    </row>
    <row r="11" spans="1:29" x14ac:dyDescent="0.2">
      <c r="A11" s="15" t="s">
        <v>105</v>
      </c>
      <c r="B11" s="15" t="s">
        <v>135</v>
      </c>
      <c r="C11" s="28">
        <v>51.817749999999997</v>
      </c>
      <c r="D11" s="28">
        <v>-1.310883</v>
      </c>
      <c r="E11" s="15">
        <v>4</v>
      </c>
      <c r="F11" s="15">
        <v>3</v>
      </c>
      <c r="G11" s="15">
        <v>12</v>
      </c>
      <c r="H11" s="15">
        <v>4</v>
      </c>
      <c r="I11" s="15">
        <v>5</v>
      </c>
      <c r="J11">
        <v>36</v>
      </c>
      <c r="K11" s="15">
        <v>0</v>
      </c>
      <c r="L11" s="15" t="s">
        <v>97</v>
      </c>
      <c r="M11" s="15">
        <v>2.25</v>
      </c>
      <c r="N11" s="15">
        <v>1.75</v>
      </c>
      <c r="O11" s="15" t="s">
        <v>94</v>
      </c>
      <c r="P11" s="15">
        <v>6</v>
      </c>
      <c r="Q11" s="15">
        <v>1</v>
      </c>
      <c r="R11" s="15">
        <v>0</v>
      </c>
      <c r="S11" s="15">
        <v>7</v>
      </c>
      <c r="T11" s="15">
        <v>56</v>
      </c>
      <c r="U11" s="15">
        <v>17.399999999999999</v>
      </c>
      <c r="V11" s="15">
        <v>75</v>
      </c>
      <c r="W11" s="15">
        <v>4</v>
      </c>
      <c r="AC11" s="15"/>
    </row>
    <row r="12" spans="1:29" x14ac:dyDescent="0.2">
      <c r="A12" s="15" t="s">
        <v>106</v>
      </c>
      <c r="B12" s="15" t="s">
        <v>135</v>
      </c>
      <c r="C12" s="28">
        <v>51.816133000000001</v>
      </c>
      <c r="D12" s="28">
        <v>-1.3091330000000001</v>
      </c>
      <c r="E12" s="15">
        <v>4</v>
      </c>
      <c r="F12" s="15">
        <v>3</v>
      </c>
      <c r="G12" s="15">
        <v>12</v>
      </c>
      <c r="H12" s="15">
        <v>7</v>
      </c>
      <c r="I12" s="15">
        <v>5</v>
      </c>
      <c r="J12">
        <v>17</v>
      </c>
      <c r="K12" s="15">
        <v>358</v>
      </c>
      <c r="L12" s="15" t="s">
        <v>97</v>
      </c>
      <c r="M12" s="15">
        <v>2.25</v>
      </c>
      <c r="N12" s="15">
        <v>2.25</v>
      </c>
      <c r="O12" s="15" t="s">
        <v>94</v>
      </c>
      <c r="P12" s="15">
        <v>7</v>
      </c>
      <c r="Q12" s="15">
        <v>1</v>
      </c>
      <c r="R12" s="15">
        <v>0</v>
      </c>
      <c r="S12" s="15">
        <v>8</v>
      </c>
      <c r="T12" s="15">
        <v>42</v>
      </c>
      <c r="U12" s="15">
        <v>18.600000000000001</v>
      </c>
      <c r="V12" s="15">
        <v>90</v>
      </c>
      <c r="W12" s="15">
        <v>5</v>
      </c>
      <c r="AC12" s="15"/>
    </row>
    <row r="13" spans="1:29" x14ac:dyDescent="0.2">
      <c r="A13" s="15" t="s">
        <v>107</v>
      </c>
      <c r="B13" s="15" t="s">
        <v>135</v>
      </c>
      <c r="C13" s="28">
        <v>51.815100000000001</v>
      </c>
      <c r="D13" s="28">
        <v>-1.307833</v>
      </c>
      <c r="E13" s="15">
        <v>4</v>
      </c>
      <c r="F13" s="15">
        <v>3</v>
      </c>
      <c r="G13" s="15">
        <v>12</v>
      </c>
      <c r="H13" s="15">
        <v>5</v>
      </c>
      <c r="I13" s="15">
        <v>4</v>
      </c>
      <c r="J13">
        <v>20</v>
      </c>
      <c r="K13" s="15">
        <v>4</v>
      </c>
      <c r="L13" s="15" t="s">
        <v>97</v>
      </c>
      <c r="M13" s="15">
        <v>1.75</v>
      </c>
      <c r="N13" s="15">
        <v>1.75</v>
      </c>
      <c r="O13" s="15" t="s">
        <v>108</v>
      </c>
      <c r="P13" s="15">
        <v>4</v>
      </c>
      <c r="Q13" s="15">
        <v>2</v>
      </c>
      <c r="R13" s="15">
        <v>0</v>
      </c>
      <c r="S13" s="15">
        <v>6</v>
      </c>
      <c r="T13" s="15">
        <v>83</v>
      </c>
      <c r="U13" s="15">
        <v>41.6</v>
      </c>
      <c r="V13" s="15">
        <v>310</v>
      </c>
      <c r="W13" s="15">
        <v>16</v>
      </c>
      <c r="AC13" s="15"/>
    </row>
    <row r="14" spans="1:29" x14ac:dyDescent="0.2">
      <c r="A14" s="15" t="s">
        <v>109</v>
      </c>
      <c r="B14" s="15" t="s">
        <v>135</v>
      </c>
      <c r="C14" s="28">
        <v>51.816766999999999</v>
      </c>
      <c r="D14" s="28">
        <v>-1.3060499999999999</v>
      </c>
      <c r="E14" s="15">
        <v>2</v>
      </c>
      <c r="F14" s="15">
        <v>2</v>
      </c>
      <c r="G14" s="15">
        <v>4</v>
      </c>
      <c r="H14" s="15">
        <v>6</v>
      </c>
      <c r="I14" s="15">
        <v>6</v>
      </c>
      <c r="J14">
        <v>34</v>
      </c>
      <c r="K14" s="15">
        <v>268</v>
      </c>
      <c r="L14" s="15" t="s">
        <v>92</v>
      </c>
      <c r="M14" s="15">
        <v>1.25</v>
      </c>
      <c r="N14" s="15">
        <v>1.75</v>
      </c>
      <c r="O14" s="15" t="s">
        <v>99</v>
      </c>
      <c r="P14" s="15">
        <v>2</v>
      </c>
      <c r="Q14" s="15">
        <v>1</v>
      </c>
      <c r="R14" s="15">
        <v>0</v>
      </c>
      <c r="S14" s="15">
        <v>3</v>
      </c>
      <c r="T14" s="15">
        <v>68</v>
      </c>
      <c r="U14" s="15">
        <v>58.8</v>
      </c>
      <c r="V14" s="15">
        <v>500</v>
      </c>
      <c r="W14" s="15">
        <v>5</v>
      </c>
      <c r="AC14" s="15"/>
    </row>
    <row r="15" spans="1:29" x14ac:dyDescent="0.2">
      <c r="A15" s="15" t="s">
        <v>111</v>
      </c>
      <c r="B15" s="15" t="s">
        <v>135</v>
      </c>
      <c r="C15" s="28">
        <v>51.816682999999998</v>
      </c>
      <c r="D15" s="28">
        <v>-1.305917</v>
      </c>
      <c r="E15" s="15">
        <v>2</v>
      </c>
      <c r="F15" s="15">
        <v>2</v>
      </c>
      <c r="G15" s="15">
        <v>4</v>
      </c>
      <c r="H15" s="15">
        <v>8</v>
      </c>
      <c r="I15" s="15">
        <v>5</v>
      </c>
      <c r="J15">
        <v>44</v>
      </c>
      <c r="K15" s="15">
        <v>84</v>
      </c>
      <c r="L15" s="15" t="s">
        <v>88</v>
      </c>
      <c r="M15" s="15">
        <v>1.25</v>
      </c>
      <c r="N15" s="15">
        <v>1.25</v>
      </c>
      <c r="O15" s="15" t="s">
        <v>99</v>
      </c>
      <c r="P15" s="15">
        <v>2</v>
      </c>
      <c r="Q15" s="15">
        <v>2</v>
      </c>
      <c r="R15" s="15">
        <v>0</v>
      </c>
      <c r="S15" s="15">
        <v>4</v>
      </c>
      <c r="T15" s="15">
        <v>117</v>
      </c>
      <c r="U15" s="15">
        <v>56.8</v>
      </c>
      <c r="V15" s="15">
        <v>500</v>
      </c>
      <c r="W15" s="15">
        <v>5</v>
      </c>
      <c r="AC15" s="15"/>
    </row>
    <row r="16" spans="1:29" x14ac:dyDescent="0.2">
      <c r="A16" s="15" t="s">
        <v>112</v>
      </c>
      <c r="B16" s="15" t="s">
        <v>135</v>
      </c>
      <c r="C16" s="28">
        <v>51.815632999999998</v>
      </c>
      <c r="D16" s="28">
        <v>-1.2991999999999999</v>
      </c>
      <c r="E16" s="15">
        <v>4</v>
      </c>
      <c r="F16" s="15">
        <v>3</v>
      </c>
      <c r="G16" s="15">
        <v>12</v>
      </c>
      <c r="H16" s="15">
        <v>5</v>
      </c>
      <c r="I16" s="15">
        <v>5</v>
      </c>
      <c r="J16">
        <v>18</v>
      </c>
      <c r="K16" s="15">
        <v>179</v>
      </c>
      <c r="L16" s="15" t="s">
        <v>83</v>
      </c>
      <c r="M16" s="15">
        <v>1.75</v>
      </c>
      <c r="N16" s="15">
        <v>2.25</v>
      </c>
      <c r="O16" s="15" t="s">
        <v>113</v>
      </c>
      <c r="P16" s="15">
        <v>4</v>
      </c>
      <c r="Q16" s="15">
        <v>1</v>
      </c>
      <c r="R16" s="15">
        <v>0</v>
      </c>
      <c r="S16" s="15">
        <v>5</v>
      </c>
      <c r="T16" s="15">
        <v>142</v>
      </c>
      <c r="U16" s="15">
        <v>53.4</v>
      </c>
      <c r="V16" s="15">
        <v>95</v>
      </c>
      <c r="W16" s="15">
        <v>10</v>
      </c>
      <c r="AC16" s="15"/>
    </row>
    <row r="17" spans="1:29" x14ac:dyDescent="0.2">
      <c r="A17" s="15" t="s">
        <v>114</v>
      </c>
      <c r="B17" s="15" t="s">
        <v>135</v>
      </c>
      <c r="C17" s="28">
        <v>51.815617000000003</v>
      </c>
      <c r="D17" s="28">
        <v>-1.3024169999999999</v>
      </c>
      <c r="E17" s="15">
        <v>6</v>
      </c>
      <c r="F17" s="15">
        <v>3</v>
      </c>
      <c r="G17" s="15">
        <v>18</v>
      </c>
      <c r="H17" s="15">
        <v>8</v>
      </c>
      <c r="I17" s="15">
        <v>7</v>
      </c>
      <c r="J17">
        <v>34</v>
      </c>
      <c r="K17" s="15">
        <v>182</v>
      </c>
      <c r="L17" s="15" t="s">
        <v>83</v>
      </c>
      <c r="M17" s="15">
        <v>2.25</v>
      </c>
      <c r="N17" s="15">
        <v>2.25</v>
      </c>
      <c r="O17" s="15" t="s">
        <v>115</v>
      </c>
      <c r="P17" s="15">
        <v>3</v>
      </c>
      <c r="Q17" s="15">
        <v>1</v>
      </c>
      <c r="R17" s="15">
        <v>2</v>
      </c>
      <c r="S17" s="15">
        <v>6</v>
      </c>
      <c r="T17" s="15">
        <v>117</v>
      </c>
      <c r="U17" s="15">
        <v>52</v>
      </c>
      <c r="V17" s="15">
        <v>500</v>
      </c>
      <c r="W17" s="15">
        <v>7</v>
      </c>
      <c r="AC17" s="15"/>
    </row>
    <row r="18" spans="1:29" x14ac:dyDescent="0.2">
      <c r="A18" s="15" t="s">
        <v>116</v>
      </c>
      <c r="B18" s="15" t="s">
        <v>135</v>
      </c>
      <c r="C18" s="28">
        <v>51.813732999999999</v>
      </c>
      <c r="D18" s="28">
        <v>-1.3007169999999999</v>
      </c>
      <c r="E18" s="15">
        <v>4</v>
      </c>
      <c r="F18" s="15">
        <v>2</v>
      </c>
      <c r="G18" s="15">
        <v>8</v>
      </c>
      <c r="H18" s="15">
        <v>7</v>
      </c>
      <c r="I18" s="15">
        <v>5</v>
      </c>
      <c r="J18">
        <v>30</v>
      </c>
      <c r="K18" s="15">
        <v>165</v>
      </c>
      <c r="L18" s="15" t="s">
        <v>83</v>
      </c>
      <c r="M18" s="15">
        <v>2.75</v>
      </c>
      <c r="N18" s="15">
        <v>1.75</v>
      </c>
      <c r="O18" s="15" t="s">
        <v>86</v>
      </c>
      <c r="P18" s="15">
        <v>3</v>
      </c>
      <c r="Q18" s="15">
        <v>1</v>
      </c>
      <c r="R18" s="15">
        <v>0</v>
      </c>
      <c r="S18" s="15">
        <v>4</v>
      </c>
      <c r="T18" s="15">
        <v>78</v>
      </c>
      <c r="U18" s="15">
        <v>30</v>
      </c>
      <c r="V18" s="15">
        <v>220</v>
      </c>
      <c r="W18" s="15">
        <v>6</v>
      </c>
      <c r="AC18" s="15"/>
    </row>
    <row r="19" spans="1:29" x14ac:dyDescent="0.2">
      <c r="A19" s="15" t="s">
        <v>117</v>
      </c>
      <c r="B19" s="15" t="s">
        <v>135</v>
      </c>
      <c r="C19" s="28">
        <v>51.810867000000002</v>
      </c>
      <c r="D19" s="28">
        <v>-1.3022</v>
      </c>
      <c r="E19" s="15">
        <v>8</v>
      </c>
      <c r="F19" s="15">
        <v>3</v>
      </c>
      <c r="G19" s="15">
        <v>24</v>
      </c>
      <c r="H19" s="15">
        <v>9</v>
      </c>
      <c r="I19" s="15">
        <v>8</v>
      </c>
      <c r="J19">
        <v>40</v>
      </c>
      <c r="K19" s="15">
        <v>314</v>
      </c>
      <c r="L19" s="15" t="s">
        <v>103</v>
      </c>
      <c r="M19" s="15">
        <v>4.25</v>
      </c>
      <c r="N19" s="15">
        <v>3.25</v>
      </c>
      <c r="O19" s="15" t="s">
        <v>86</v>
      </c>
      <c r="P19" s="15">
        <v>3</v>
      </c>
      <c r="Q19" s="15">
        <v>1</v>
      </c>
      <c r="R19" s="15">
        <v>2</v>
      </c>
      <c r="S19" s="15">
        <v>6</v>
      </c>
      <c r="T19" s="15">
        <v>90</v>
      </c>
      <c r="U19" s="15">
        <v>56.6</v>
      </c>
      <c r="V19" s="15">
        <v>420</v>
      </c>
      <c r="W19" s="15">
        <v>7</v>
      </c>
      <c r="AC19" s="15"/>
    </row>
    <row r="20" spans="1:29" x14ac:dyDescent="0.2">
      <c r="A20" s="15" t="s">
        <v>119</v>
      </c>
      <c r="B20" s="15" t="s">
        <v>135</v>
      </c>
      <c r="C20" s="28">
        <v>51.818550000000002</v>
      </c>
      <c r="D20" s="28">
        <v>-1.2959670000000001</v>
      </c>
      <c r="E20" s="15">
        <v>8</v>
      </c>
      <c r="F20" s="15">
        <v>3</v>
      </c>
      <c r="G20" s="15">
        <v>24</v>
      </c>
      <c r="H20" s="15">
        <v>6</v>
      </c>
      <c r="I20" s="15">
        <v>5</v>
      </c>
      <c r="J20">
        <v>30</v>
      </c>
      <c r="K20" s="15">
        <v>211</v>
      </c>
      <c r="L20" s="15" t="s">
        <v>74</v>
      </c>
      <c r="M20" s="15">
        <v>4.25</v>
      </c>
      <c r="N20" s="15">
        <v>3.75</v>
      </c>
      <c r="O20" s="15" t="s">
        <v>115</v>
      </c>
      <c r="P20" s="15">
        <v>4</v>
      </c>
      <c r="Q20" s="15">
        <v>2</v>
      </c>
      <c r="R20" s="15">
        <v>2</v>
      </c>
      <c r="S20" s="15">
        <v>8</v>
      </c>
      <c r="T20" s="15">
        <v>124</v>
      </c>
      <c r="U20" s="15">
        <v>74.599999999999994</v>
      </c>
      <c r="V20" s="15">
        <v>500</v>
      </c>
      <c r="W20" s="15">
        <v>7</v>
      </c>
      <c r="AC20" s="15"/>
    </row>
    <row r="21" spans="1:29" x14ac:dyDescent="0.2">
      <c r="A21" s="15" t="s">
        <v>120</v>
      </c>
      <c r="B21" s="15" t="s">
        <v>135</v>
      </c>
      <c r="C21" s="28">
        <v>51.816716999999997</v>
      </c>
      <c r="D21" s="28">
        <v>-1.293917</v>
      </c>
      <c r="E21" s="15">
        <v>8</v>
      </c>
      <c r="F21" s="15">
        <v>2</v>
      </c>
      <c r="G21" s="15">
        <v>16</v>
      </c>
      <c r="H21" s="15">
        <v>12</v>
      </c>
      <c r="I21" s="15">
        <v>9</v>
      </c>
      <c r="J21">
        <v>31</v>
      </c>
      <c r="K21" s="15">
        <v>174</v>
      </c>
      <c r="L21" s="15" t="s">
        <v>83</v>
      </c>
      <c r="M21" s="15">
        <v>3.75</v>
      </c>
      <c r="N21" s="15">
        <v>2.25</v>
      </c>
      <c r="O21" s="15" t="s">
        <v>121</v>
      </c>
      <c r="P21" s="15">
        <v>3</v>
      </c>
      <c r="Q21" s="15">
        <v>1</v>
      </c>
      <c r="R21" s="15">
        <v>2</v>
      </c>
      <c r="S21" s="15">
        <v>6</v>
      </c>
      <c r="T21" s="15">
        <v>162</v>
      </c>
      <c r="U21" s="15">
        <v>102.2</v>
      </c>
      <c r="V21" s="15">
        <v>85</v>
      </c>
      <c r="W21" s="15">
        <v>8</v>
      </c>
      <c r="AC21" s="15"/>
    </row>
    <row r="22" spans="1:29" x14ac:dyDescent="0.2">
      <c r="A22" s="15" t="s">
        <v>122</v>
      </c>
      <c r="B22" s="15" t="s">
        <v>135</v>
      </c>
      <c r="C22" s="28">
        <v>51.815533000000002</v>
      </c>
      <c r="D22" s="28">
        <v>-1.2947500000000001</v>
      </c>
      <c r="E22" s="15">
        <v>6</v>
      </c>
      <c r="F22" s="15">
        <v>3</v>
      </c>
      <c r="G22" s="15">
        <v>18</v>
      </c>
      <c r="H22" s="15">
        <v>8</v>
      </c>
      <c r="I22" s="15">
        <v>8</v>
      </c>
      <c r="J22">
        <v>49</v>
      </c>
      <c r="K22" s="15">
        <v>350</v>
      </c>
      <c r="L22" s="15" t="s">
        <v>97</v>
      </c>
      <c r="M22" s="15">
        <v>3.75</v>
      </c>
      <c r="N22" s="15">
        <v>2.25</v>
      </c>
      <c r="O22" s="15" t="s">
        <v>121</v>
      </c>
      <c r="P22" s="15">
        <v>5</v>
      </c>
      <c r="Q22" s="15">
        <v>1</v>
      </c>
      <c r="R22" s="15">
        <v>1</v>
      </c>
      <c r="S22" s="15">
        <v>7</v>
      </c>
      <c r="T22" s="15">
        <v>104</v>
      </c>
      <c r="U22" s="15">
        <v>52.8</v>
      </c>
      <c r="V22" s="15">
        <v>65</v>
      </c>
      <c r="W22" s="15">
        <v>11</v>
      </c>
      <c r="AC22" s="15"/>
    </row>
    <row r="23" spans="1:29" x14ac:dyDescent="0.2">
      <c r="A23" s="15" t="s">
        <v>123</v>
      </c>
      <c r="B23" s="15" t="s">
        <v>135</v>
      </c>
      <c r="C23" s="28">
        <v>51.815832999999998</v>
      </c>
      <c r="D23" s="28">
        <v>-1.29295</v>
      </c>
      <c r="E23" s="15">
        <v>6</v>
      </c>
      <c r="F23" s="15">
        <v>3</v>
      </c>
      <c r="G23" s="15">
        <v>18</v>
      </c>
      <c r="H23" s="15">
        <v>11</v>
      </c>
      <c r="I23" s="15">
        <v>6</v>
      </c>
      <c r="J23">
        <v>62</v>
      </c>
      <c r="K23" s="15">
        <v>161</v>
      </c>
      <c r="L23" s="15" t="s">
        <v>124</v>
      </c>
      <c r="M23" s="15">
        <v>2.75</v>
      </c>
      <c r="N23" s="15">
        <v>2.25</v>
      </c>
      <c r="O23" s="15" t="s">
        <v>121</v>
      </c>
      <c r="P23" s="15">
        <v>5</v>
      </c>
      <c r="Q23" s="15">
        <v>2</v>
      </c>
      <c r="R23" s="15">
        <v>1</v>
      </c>
      <c r="S23" s="15">
        <v>8</v>
      </c>
      <c r="T23" s="15">
        <v>128</v>
      </c>
      <c r="U23" s="15">
        <v>72.400000000000006</v>
      </c>
      <c r="V23" s="15">
        <v>115</v>
      </c>
      <c r="W23" s="15">
        <v>11</v>
      </c>
      <c r="AC23" s="15"/>
    </row>
    <row r="24" spans="1:29" x14ac:dyDescent="0.2">
      <c r="A24" s="15" t="s">
        <v>125</v>
      </c>
      <c r="B24" s="15" t="s">
        <v>135</v>
      </c>
      <c r="C24" s="28">
        <v>51.815133000000003</v>
      </c>
      <c r="D24" s="28">
        <v>-1.2927</v>
      </c>
      <c r="E24" s="15">
        <v>8</v>
      </c>
      <c r="F24" s="15">
        <v>3</v>
      </c>
      <c r="G24" s="15">
        <v>24</v>
      </c>
      <c r="H24" s="15">
        <v>12</v>
      </c>
      <c r="I24" s="15">
        <v>8</v>
      </c>
      <c r="J24">
        <v>46</v>
      </c>
      <c r="K24" s="15">
        <v>287</v>
      </c>
      <c r="L24" s="15" t="s">
        <v>92</v>
      </c>
      <c r="M24" s="15">
        <v>4.75</v>
      </c>
      <c r="N24" s="15">
        <v>3.75</v>
      </c>
      <c r="O24" s="15" t="s">
        <v>121</v>
      </c>
      <c r="P24" s="15">
        <v>5</v>
      </c>
      <c r="Q24" s="15">
        <v>1</v>
      </c>
      <c r="R24" s="15">
        <v>3</v>
      </c>
      <c r="S24" s="15">
        <v>9</v>
      </c>
      <c r="T24" s="15">
        <v>127</v>
      </c>
      <c r="U24" s="15">
        <v>71</v>
      </c>
      <c r="V24" s="15">
        <v>110</v>
      </c>
      <c r="W24" s="15">
        <v>6</v>
      </c>
      <c r="AC24" s="15"/>
    </row>
    <row r="25" spans="1:29" x14ac:dyDescent="0.2">
      <c r="A25" s="15" t="s">
        <v>126</v>
      </c>
      <c r="B25" s="15" t="s">
        <v>135</v>
      </c>
      <c r="C25" s="28">
        <v>51.815100000000001</v>
      </c>
      <c r="D25" s="28">
        <v>-1.2924329999999999</v>
      </c>
      <c r="E25" s="15">
        <v>8</v>
      </c>
      <c r="F25" s="15">
        <v>3</v>
      </c>
      <c r="G25" s="15">
        <v>24</v>
      </c>
      <c r="H25" s="15">
        <v>7</v>
      </c>
      <c r="I25" s="15">
        <v>6</v>
      </c>
      <c r="J25">
        <v>36</v>
      </c>
      <c r="K25" s="15">
        <v>117</v>
      </c>
      <c r="L25" s="15" t="s">
        <v>80</v>
      </c>
      <c r="M25" s="15">
        <v>4.75</v>
      </c>
      <c r="N25" s="15">
        <v>3.75</v>
      </c>
      <c r="O25" s="15" t="s">
        <v>113</v>
      </c>
      <c r="P25" s="15">
        <v>5</v>
      </c>
      <c r="Q25" s="15">
        <v>1</v>
      </c>
      <c r="R25" s="15">
        <v>2</v>
      </c>
      <c r="S25" s="15">
        <v>8</v>
      </c>
      <c r="T25" s="15">
        <v>106</v>
      </c>
      <c r="U25" s="15">
        <v>44.6</v>
      </c>
      <c r="V25" s="15">
        <v>125</v>
      </c>
      <c r="W25" s="15">
        <v>10</v>
      </c>
      <c r="AC25" s="15"/>
    </row>
    <row r="26" spans="1:29" x14ac:dyDescent="0.2">
      <c r="A26" s="15" t="s">
        <v>127</v>
      </c>
      <c r="B26" s="15" t="s">
        <v>135</v>
      </c>
      <c r="C26" s="28">
        <v>51.812600000000003</v>
      </c>
      <c r="D26" s="28">
        <v>-1.293833</v>
      </c>
      <c r="E26" s="15">
        <v>8</v>
      </c>
      <c r="F26" s="15">
        <v>3</v>
      </c>
      <c r="G26" s="15">
        <v>24</v>
      </c>
      <c r="H26" s="15">
        <v>10</v>
      </c>
      <c r="I26" s="15">
        <v>6</v>
      </c>
      <c r="J26">
        <v>59</v>
      </c>
      <c r="K26" s="15">
        <v>102</v>
      </c>
      <c r="L26" s="15" t="s">
        <v>88</v>
      </c>
      <c r="M26" s="15">
        <v>3.75</v>
      </c>
      <c r="N26" s="15">
        <v>3.25</v>
      </c>
      <c r="O26" s="15" t="s">
        <v>113</v>
      </c>
      <c r="P26" s="15">
        <v>4</v>
      </c>
      <c r="Q26" s="15">
        <v>2</v>
      </c>
      <c r="R26" s="15">
        <v>2</v>
      </c>
      <c r="S26" s="15">
        <v>8</v>
      </c>
      <c r="T26" s="15">
        <v>62</v>
      </c>
      <c r="U26" s="15">
        <v>24.4</v>
      </c>
      <c r="V26" s="15">
        <v>160</v>
      </c>
      <c r="W26" s="15">
        <v>9</v>
      </c>
      <c r="AC26" s="15"/>
    </row>
    <row r="27" spans="1:29" x14ac:dyDescent="0.2">
      <c r="A27" s="15" t="s">
        <v>128</v>
      </c>
      <c r="B27" s="15" t="s">
        <v>135</v>
      </c>
      <c r="C27" s="28">
        <v>51.809583000000003</v>
      </c>
      <c r="D27" s="28">
        <v>-1.2956669999999999</v>
      </c>
      <c r="E27" s="15">
        <v>8</v>
      </c>
      <c r="F27" s="15">
        <v>3</v>
      </c>
      <c r="G27" s="15">
        <v>24</v>
      </c>
      <c r="H27" s="15">
        <v>12</v>
      </c>
      <c r="I27" s="15">
        <v>8</v>
      </c>
      <c r="J27">
        <v>76</v>
      </c>
      <c r="K27" s="15">
        <v>98</v>
      </c>
      <c r="L27" s="15" t="s">
        <v>88</v>
      </c>
      <c r="M27" s="15">
        <v>3.25</v>
      </c>
      <c r="N27" s="15">
        <v>3.25</v>
      </c>
      <c r="O27" s="15" t="s">
        <v>113</v>
      </c>
      <c r="P27" s="15">
        <v>3</v>
      </c>
      <c r="Q27" s="15">
        <v>1</v>
      </c>
      <c r="R27" s="15">
        <v>4</v>
      </c>
      <c r="S27" s="15">
        <v>8</v>
      </c>
      <c r="T27" s="15">
        <v>41</v>
      </c>
      <c r="U27" s="15">
        <v>24.4</v>
      </c>
      <c r="V27" s="15">
        <v>125</v>
      </c>
      <c r="W27" s="15">
        <v>11</v>
      </c>
      <c r="AC27" s="15"/>
    </row>
    <row r="28" spans="1:29" x14ac:dyDescent="0.2">
      <c r="A28" s="15" t="s">
        <v>129</v>
      </c>
      <c r="B28" s="15" t="s">
        <v>135</v>
      </c>
      <c r="C28" s="28">
        <v>51.807749999999999</v>
      </c>
      <c r="D28" s="28">
        <v>-1.29295</v>
      </c>
      <c r="E28" s="15">
        <v>8</v>
      </c>
      <c r="F28" s="15">
        <v>2</v>
      </c>
      <c r="G28" s="15">
        <v>16</v>
      </c>
      <c r="H28" s="15">
        <v>10</v>
      </c>
      <c r="I28" s="15">
        <v>9</v>
      </c>
      <c r="J28">
        <v>50</v>
      </c>
      <c r="K28" s="15">
        <v>285</v>
      </c>
      <c r="L28" s="15" t="s">
        <v>92</v>
      </c>
      <c r="M28" s="15">
        <v>3.25</v>
      </c>
      <c r="N28" s="15">
        <v>3.75</v>
      </c>
      <c r="O28" s="15" t="s">
        <v>113</v>
      </c>
      <c r="P28" s="15">
        <v>6</v>
      </c>
      <c r="Q28" s="15">
        <v>1</v>
      </c>
      <c r="R28" s="15">
        <v>2</v>
      </c>
      <c r="S28" s="15">
        <v>9</v>
      </c>
      <c r="T28" s="15">
        <v>47</v>
      </c>
      <c r="U28" s="15">
        <v>20.2</v>
      </c>
      <c r="V28" s="15">
        <v>80</v>
      </c>
      <c r="W28" s="15">
        <v>8</v>
      </c>
      <c r="AC28" s="15"/>
    </row>
    <row r="29" spans="1:29" x14ac:dyDescent="0.2">
      <c r="A29" s="15" t="s">
        <v>130</v>
      </c>
      <c r="B29" s="15" t="s">
        <v>135</v>
      </c>
      <c r="C29" s="28">
        <v>51.808599999999998</v>
      </c>
      <c r="D29" s="28">
        <v>-1.288683</v>
      </c>
      <c r="E29" s="15">
        <v>6</v>
      </c>
      <c r="F29" s="15">
        <v>3</v>
      </c>
      <c r="G29" s="15">
        <v>18</v>
      </c>
      <c r="H29" s="15">
        <v>10</v>
      </c>
      <c r="I29">
        <v>6</v>
      </c>
      <c r="J29">
        <v>62</v>
      </c>
      <c r="K29" s="15">
        <v>274</v>
      </c>
      <c r="L29" s="15" t="s">
        <v>92</v>
      </c>
      <c r="M29" s="15">
        <v>3.25</v>
      </c>
      <c r="N29" s="15">
        <v>3.75</v>
      </c>
      <c r="O29" s="15" t="s">
        <v>113</v>
      </c>
      <c r="P29" s="15">
        <v>4</v>
      </c>
      <c r="Q29" s="15">
        <v>1</v>
      </c>
      <c r="R29" s="15">
        <v>3</v>
      </c>
      <c r="S29" s="15">
        <v>8</v>
      </c>
      <c r="T29" s="15">
        <v>58</v>
      </c>
      <c r="U29" s="15">
        <v>35</v>
      </c>
      <c r="V29" s="15">
        <v>80</v>
      </c>
      <c r="W29" s="15">
        <v>4</v>
      </c>
      <c r="AC29" s="15"/>
    </row>
    <row r="30" spans="1:29" x14ac:dyDescent="0.2">
      <c r="A30" s="15" t="s">
        <v>131</v>
      </c>
      <c r="B30" s="15" t="s">
        <v>135</v>
      </c>
      <c r="C30" s="28">
        <v>51.811216999999999</v>
      </c>
      <c r="D30" s="28">
        <v>-1.2882830000000001</v>
      </c>
      <c r="E30" s="15">
        <v>6</v>
      </c>
      <c r="F30" s="15">
        <v>3</v>
      </c>
      <c r="G30" s="15">
        <v>18</v>
      </c>
      <c r="H30">
        <v>9</v>
      </c>
      <c r="I30">
        <v>9</v>
      </c>
      <c r="J30">
        <v>62</v>
      </c>
      <c r="K30" s="15">
        <v>278</v>
      </c>
      <c r="L30" s="15" t="s">
        <v>92</v>
      </c>
      <c r="M30" s="15">
        <v>2.75</v>
      </c>
      <c r="N30" s="15">
        <v>3.25</v>
      </c>
      <c r="O30" s="15" t="s">
        <v>113</v>
      </c>
      <c r="P30" s="15">
        <v>2</v>
      </c>
      <c r="Q30" s="15">
        <v>2</v>
      </c>
      <c r="R30" s="15">
        <v>1</v>
      </c>
      <c r="S30" s="15">
        <v>5</v>
      </c>
      <c r="T30" s="15">
        <v>62</v>
      </c>
      <c r="U30" s="15">
        <v>41.6</v>
      </c>
      <c r="V30" s="15">
        <v>110</v>
      </c>
      <c r="W30" s="15">
        <v>10</v>
      </c>
      <c r="AC30" s="15"/>
    </row>
    <row r="31" spans="1:29" x14ac:dyDescent="0.2">
      <c r="A31" s="15" t="s">
        <v>72</v>
      </c>
      <c r="B31" s="15" t="s">
        <v>137</v>
      </c>
      <c r="C31" s="10">
        <v>51.822099999999999</v>
      </c>
      <c r="D31" s="10">
        <v>-1.2992330000000001</v>
      </c>
      <c r="E31">
        <v>6</v>
      </c>
      <c r="F31">
        <v>3</v>
      </c>
      <c r="G31">
        <f t="shared" ref="G31:G57" si="0">E31*F31</f>
        <v>18</v>
      </c>
      <c r="H31">
        <v>12</v>
      </c>
      <c r="I31">
        <v>8</v>
      </c>
      <c r="J31">
        <v>52</v>
      </c>
      <c r="K31">
        <v>225</v>
      </c>
      <c r="L31" t="s">
        <v>74</v>
      </c>
      <c r="M31">
        <v>3.25</v>
      </c>
      <c r="N31">
        <v>2.75</v>
      </c>
      <c r="O31" t="s">
        <v>77</v>
      </c>
      <c r="P31" s="15">
        <v>5</v>
      </c>
      <c r="Q31" s="15">
        <v>2</v>
      </c>
      <c r="R31" s="15">
        <v>2</v>
      </c>
      <c r="S31" s="15">
        <v>9</v>
      </c>
      <c r="T31">
        <v>67</v>
      </c>
      <c r="U31">
        <v>28.8</v>
      </c>
      <c r="V31">
        <v>340</v>
      </c>
      <c r="W31">
        <v>8</v>
      </c>
      <c r="X31" s="15"/>
    </row>
    <row r="32" spans="1:29" x14ac:dyDescent="0.2">
      <c r="A32" s="15" t="s">
        <v>78</v>
      </c>
      <c r="B32" s="15" t="s">
        <v>137</v>
      </c>
      <c r="C32" s="10">
        <v>51.822516999999998</v>
      </c>
      <c r="D32" s="10">
        <v>-1.3022499999999999</v>
      </c>
      <c r="E32">
        <v>8</v>
      </c>
      <c r="F32">
        <v>3</v>
      </c>
      <c r="G32">
        <f t="shared" si="0"/>
        <v>24</v>
      </c>
      <c r="H32">
        <v>13</v>
      </c>
      <c r="I32">
        <v>7</v>
      </c>
      <c r="J32">
        <v>103</v>
      </c>
      <c r="K32">
        <v>150</v>
      </c>
      <c r="L32" t="s">
        <v>80</v>
      </c>
      <c r="M32">
        <v>4.75</v>
      </c>
      <c r="N32">
        <v>3.25</v>
      </c>
      <c r="O32" t="s">
        <v>77</v>
      </c>
      <c r="P32" s="15">
        <v>9</v>
      </c>
      <c r="Q32" s="15">
        <v>2</v>
      </c>
      <c r="R32" s="15">
        <v>4</v>
      </c>
      <c r="S32" s="15">
        <v>15</v>
      </c>
      <c r="T32">
        <v>61</v>
      </c>
      <c r="U32">
        <v>45.6</v>
      </c>
      <c r="V32">
        <v>500</v>
      </c>
      <c r="W32">
        <v>12</v>
      </c>
      <c r="X32" s="15"/>
    </row>
    <row r="33" spans="1:24" x14ac:dyDescent="0.2">
      <c r="A33" s="15" t="s">
        <v>82</v>
      </c>
      <c r="B33" s="15" t="s">
        <v>137</v>
      </c>
      <c r="C33" s="10">
        <v>51.823616999999999</v>
      </c>
      <c r="D33" s="10">
        <v>-1.3056000000000001</v>
      </c>
      <c r="E33">
        <v>6</v>
      </c>
      <c r="F33">
        <v>3</v>
      </c>
      <c r="G33">
        <f t="shared" si="0"/>
        <v>18</v>
      </c>
      <c r="H33">
        <v>8</v>
      </c>
      <c r="I33">
        <v>7</v>
      </c>
      <c r="J33">
        <v>48</v>
      </c>
      <c r="K33">
        <v>179</v>
      </c>
      <c r="L33" t="s">
        <v>83</v>
      </c>
      <c r="M33">
        <v>1.75</v>
      </c>
      <c r="N33">
        <v>2.25</v>
      </c>
      <c r="O33" t="s">
        <v>86</v>
      </c>
      <c r="P33" s="15">
        <v>4</v>
      </c>
      <c r="Q33" s="15">
        <v>1</v>
      </c>
      <c r="R33" s="15">
        <v>2</v>
      </c>
      <c r="S33" s="15">
        <v>7</v>
      </c>
      <c r="T33">
        <v>63</v>
      </c>
      <c r="U33">
        <v>30</v>
      </c>
      <c r="V33">
        <v>80</v>
      </c>
      <c r="W33">
        <v>4</v>
      </c>
      <c r="X33" s="15"/>
    </row>
    <row r="34" spans="1:24" x14ac:dyDescent="0.2">
      <c r="A34" s="15" t="s">
        <v>87</v>
      </c>
      <c r="B34" s="15" t="s">
        <v>137</v>
      </c>
      <c r="C34" s="10">
        <v>51.822032999999998</v>
      </c>
      <c r="D34" s="10">
        <v>-1.30945</v>
      </c>
      <c r="E34">
        <v>6</v>
      </c>
      <c r="F34">
        <v>3</v>
      </c>
      <c r="G34">
        <f t="shared" si="0"/>
        <v>18</v>
      </c>
      <c r="H34">
        <v>7</v>
      </c>
      <c r="I34">
        <v>6</v>
      </c>
      <c r="J34">
        <v>47</v>
      </c>
      <c r="K34">
        <v>88</v>
      </c>
      <c r="L34" t="s">
        <v>88</v>
      </c>
      <c r="M34">
        <v>4.75</v>
      </c>
      <c r="N34">
        <v>3.75</v>
      </c>
      <c r="O34" t="s">
        <v>86</v>
      </c>
      <c r="P34" s="15">
        <v>5</v>
      </c>
      <c r="Q34" s="15">
        <v>2</v>
      </c>
      <c r="R34" s="15">
        <v>0</v>
      </c>
      <c r="S34" s="15">
        <v>7</v>
      </c>
      <c r="T34">
        <v>42</v>
      </c>
      <c r="U34">
        <v>21.6</v>
      </c>
      <c r="V34">
        <v>230</v>
      </c>
      <c r="W34">
        <v>4</v>
      </c>
      <c r="X34" s="15"/>
    </row>
    <row r="35" spans="1:24" x14ac:dyDescent="0.2">
      <c r="A35" s="15" t="s">
        <v>90</v>
      </c>
      <c r="B35" s="15" t="s">
        <v>137</v>
      </c>
      <c r="C35" s="10">
        <v>51.820900000000002</v>
      </c>
      <c r="D35" s="10">
        <v>-1.3093669999999999</v>
      </c>
      <c r="E35">
        <v>2</v>
      </c>
      <c r="F35">
        <v>2</v>
      </c>
      <c r="G35">
        <f t="shared" si="0"/>
        <v>4</v>
      </c>
      <c r="H35">
        <v>6</v>
      </c>
      <c r="I35">
        <v>7</v>
      </c>
      <c r="J35">
        <v>38</v>
      </c>
      <c r="K35">
        <v>255</v>
      </c>
      <c r="L35" t="s">
        <v>92</v>
      </c>
      <c r="M35">
        <v>2.25</v>
      </c>
      <c r="N35">
        <v>1.75</v>
      </c>
      <c r="O35" t="s">
        <v>86</v>
      </c>
      <c r="P35" s="15">
        <v>3</v>
      </c>
      <c r="Q35" s="15">
        <v>3</v>
      </c>
      <c r="R35" s="15">
        <v>0</v>
      </c>
      <c r="S35" s="15">
        <v>6</v>
      </c>
      <c r="T35">
        <v>68</v>
      </c>
      <c r="U35">
        <v>34.4</v>
      </c>
      <c r="V35">
        <v>120</v>
      </c>
      <c r="W35">
        <v>7</v>
      </c>
      <c r="X35" s="15"/>
    </row>
    <row r="36" spans="1:24" x14ac:dyDescent="0.2">
      <c r="A36" s="15" t="s">
        <v>93</v>
      </c>
      <c r="B36" s="15" t="s">
        <v>137</v>
      </c>
      <c r="C36" s="10">
        <v>51.818367000000002</v>
      </c>
      <c r="D36" s="10">
        <v>-1.3125830000000001</v>
      </c>
      <c r="E36">
        <v>6</v>
      </c>
      <c r="F36">
        <v>2</v>
      </c>
      <c r="G36">
        <f t="shared" si="0"/>
        <v>12</v>
      </c>
      <c r="H36">
        <v>8</v>
      </c>
      <c r="I36">
        <v>6</v>
      </c>
      <c r="J36">
        <v>58</v>
      </c>
      <c r="K36">
        <v>255</v>
      </c>
      <c r="L36" t="s">
        <v>92</v>
      </c>
      <c r="M36">
        <v>3.25</v>
      </c>
      <c r="N36">
        <v>2.25</v>
      </c>
      <c r="O36" t="s">
        <v>94</v>
      </c>
      <c r="P36" s="15">
        <v>5</v>
      </c>
      <c r="Q36" s="15">
        <v>2</v>
      </c>
      <c r="R36" s="15">
        <v>2</v>
      </c>
      <c r="S36" s="15">
        <v>9</v>
      </c>
      <c r="T36">
        <v>52</v>
      </c>
      <c r="U36">
        <v>28.4</v>
      </c>
      <c r="V36">
        <v>220</v>
      </c>
      <c r="W36">
        <v>4</v>
      </c>
      <c r="X36" s="15"/>
    </row>
    <row r="37" spans="1:24" x14ac:dyDescent="0.2">
      <c r="A37" s="15" t="s">
        <v>95</v>
      </c>
      <c r="B37" s="15" t="s">
        <v>137</v>
      </c>
      <c r="C37" s="10">
        <v>51.817667</v>
      </c>
      <c r="D37" s="10">
        <v>-1.314683</v>
      </c>
      <c r="E37">
        <v>4</v>
      </c>
      <c r="F37">
        <v>3</v>
      </c>
      <c r="G37">
        <f t="shared" si="0"/>
        <v>12</v>
      </c>
      <c r="H37">
        <v>6</v>
      </c>
      <c r="I37">
        <v>5</v>
      </c>
      <c r="J37">
        <v>56</v>
      </c>
      <c r="K37">
        <v>2</v>
      </c>
      <c r="L37" t="s">
        <v>97</v>
      </c>
      <c r="M37">
        <v>1.75</v>
      </c>
      <c r="N37">
        <v>1.75</v>
      </c>
      <c r="O37" t="s">
        <v>94</v>
      </c>
      <c r="P37" s="15">
        <v>7</v>
      </c>
      <c r="Q37" s="15">
        <v>1</v>
      </c>
      <c r="R37" s="15">
        <v>0</v>
      </c>
      <c r="S37" s="15">
        <v>8</v>
      </c>
      <c r="T37">
        <v>53</v>
      </c>
      <c r="U37">
        <v>24.2</v>
      </c>
      <c r="V37">
        <v>125</v>
      </c>
      <c r="W37">
        <v>5</v>
      </c>
      <c r="X37" s="15"/>
    </row>
    <row r="38" spans="1:24" x14ac:dyDescent="0.2">
      <c r="A38" s="15" t="s">
        <v>98</v>
      </c>
      <c r="B38" s="15" t="s">
        <v>137</v>
      </c>
      <c r="C38" s="10">
        <v>51.817332999999998</v>
      </c>
      <c r="D38" s="10">
        <v>-1.3145</v>
      </c>
      <c r="E38">
        <v>6</v>
      </c>
      <c r="F38">
        <v>3</v>
      </c>
      <c r="G38">
        <f t="shared" si="0"/>
        <v>18</v>
      </c>
      <c r="H38">
        <v>9</v>
      </c>
      <c r="I38">
        <v>5</v>
      </c>
      <c r="J38">
        <v>46</v>
      </c>
      <c r="K38">
        <v>171</v>
      </c>
      <c r="L38" t="s">
        <v>83</v>
      </c>
      <c r="M38">
        <v>4.75</v>
      </c>
      <c r="N38">
        <v>3.75</v>
      </c>
      <c r="O38" t="s">
        <v>99</v>
      </c>
      <c r="P38" s="15">
        <v>2</v>
      </c>
      <c r="Q38" s="15">
        <v>1</v>
      </c>
      <c r="R38" s="15">
        <v>2</v>
      </c>
      <c r="S38" s="15">
        <v>5</v>
      </c>
      <c r="T38">
        <v>72</v>
      </c>
      <c r="U38">
        <v>44</v>
      </c>
      <c r="V38">
        <v>200</v>
      </c>
      <c r="W38">
        <v>8</v>
      </c>
      <c r="X38" s="15"/>
    </row>
    <row r="39" spans="1:24" x14ac:dyDescent="0.2">
      <c r="A39" s="15" t="s">
        <v>105</v>
      </c>
      <c r="B39" s="15" t="s">
        <v>137</v>
      </c>
      <c r="C39" s="10">
        <v>51.817749999999997</v>
      </c>
      <c r="D39" s="10">
        <v>-1.310883</v>
      </c>
      <c r="E39">
        <v>4</v>
      </c>
      <c r="F39">
        <v>3</v>
      </c>
      <c r="G39">
        <f t="shared" si="0"/>
        <v>12</v>
      </c>
      <c r="H39">
        <v>3</v>
      </c>
      <c r="I39">
        <v>5</v>
      </c>
      <c r="J39">
        <v>44</v>
      </c>
      <c r="K39">
        <v>0</v>
      </c>
      <c r="L39" t="s">
        <v>97</v>
      </c>
      <c r="M39">
        <v>2.25</v>
      </c>
      <c r="N39">
        <v>1.75</v>
      </c>
      <c r="O39" t="s">
        <v>94</v>
      </c>
      <c r="P39" s="15">
        <v>6</v>
      </c>
      <c r="Q39" s="15">
        <v>1</v>
      </c>
      <c r="R39" s="15">
        <v>0</v>
      </c>
      <c r="S39" s="15">
        <v>7</v>
      </c>
      <c r="T39">
        <v>63</v>
      </c>
      <c r="U39">
        <v>23.2</v>
      </c>
      <c r="V39">
        <v>90</v>
      </c>
      <c r="W39">
        <v>4</v>
      </c>
      <c r="X39" s="15"/>
    </row>
    <row r="40" spans="1:24" x14ac:dyDescent="0.2">
      <c r="A40" s="15" t="s">
        <v>106</v>
      </c>
      <c r="B40" s="15" t="s">
        <v>137</v>
      </c>
      <c r="C40" s="10">
        <v>51.816133000000001</v>
      </c>
      <c r="D40" s="10">
        <v>-1.3091330000000001</v>
      </c>
      <c r="E40">
        <v>4</v>
      </c>
      <c r="F40">
        <v>3</v>
      </c>
      <c r="G40">
        <f t="shared" si="0"/>
        <v>12</v>
      </c>
      <c r="H40">
        <v>2</v>
      </c>
      <c r="I40">
        <v>6</v>
      </c>
      <c r="J40">
        <v>35</v>
      </c>
      <c r="K40">
        <v>358</v>
      </c>
      <c r="L40" t="s">
        <v>97</v>
      </c>
      <c r="M40">
        <v>2.25</v>
      </c>
      <c r="N40">
        <v>2.25</v>
      </c>
      <c r="O40" t="s">
        <v>94</v>
      </c>
      <c r="P40" s="15">
        <v>7</v>
      </c>
      <c r="Q40" s="15">
        <v>1</v>
      </c>
      <c r="R40" s="15">
        <v>0</v>
      </c>
      <c r="S40" s="15">
        <v>8</v>
      </c>
      <c r="T40">
        <v>41</v>
      </c>
      <c r="U40">
        <v>16.399999999999999</v>
      </c>
      <c r="V40">
        <v>80</v>
      </c>
      <c r="W40">
        <v>5</v>
      </c>
      <c r="X40" s="15"/>
    </row>
    <row r="41" spans="1:24" x14ac:dyDescent="0.2">
      <c r="A41" s="15" t="s">
        <v>107</v>
      </c>
      <c r="B41" s="15" t="s">
        <v>137</v>
      </c>
      <c r="C41" s="10">
        <v>51.815100000000001</v>
      </c>
      <c r="D41" s="10">
        <v>-1.307833</v>
      </c>
      <c r="E41">
        <v>4</v>
      </c>
      <c r="F41">
        <v>3</v>
      </c>
      <c r="G41">
        <f t="shared" si="0"/>
        <v>12</v>
      </c>
      <c r="H41">
        <v>11</v>
      </c>
      <c r="I41">
        <v>6</v>
      </c>
      <c r="J41">
        <v>59</v>
      </c>
      <c r="K41">
        <v>4</v>
      </c>
      <c r="L41" t="s">
        <v>97</v>
      </c>
      <c r="M41">
        <v>1.75</v>
      </c>
      <c r="N41">
        <v>1.75</v>
      </c>
      <c r="O41" t="s">
        <v>108</v>
      </c>
      <c r="P41" s="15">
        <v>4</v>
      </c>
      <c r="Q41" s="15">
        <v>2</v>
      </c>
      <c r="R41" s="15">
        <v>0</v>
      </c>
      <c r="S41" s="15">
        <v>6</v>
      </c>
      <c r="T41">
        <v>79</v>
      </c>
      <c r="U41">
        <v>35.4</v>
      </c>
      <c r="V41">
        <v>290</v>
      </c>
      <c r="W41">
        <v>14</v>
      </c>
      <c r="X41" s="15"/>
    </row>
    <row r="42" spans="1:24" x14ac:dyDescent="0.2">
      <c r="A42" s="15" t="s">
        <v>109</v>
      </c>
      <c r="B42" s="15" t="s">
        <v>137</v>
      </c>
      <c r="C42" s="10">
        <v>51.816766999999999</v>
      </c>
      <c r="D42" s="10">
        <v>-1.3060499999999999</v>
      </c>
      <c r="E42">
        <v>2</v>
      </c>
      <c r="F42">
        <v>2</v>
      </c>
      <c r="G42">
        <f t="shared" si="0"/>
        <v>4</v>
      </c>
      <c r="H42">
        <v>6</v>
      </c>
      <c r="I42">
        <v>5</v>
      </c>
      <c r="J42">
        <v>46</v>
      </c>
      <c r="K42">
        <v>268</v>
      </c>
      <c r="L42" t="s">
        <v>92</v>
      </c>
      <c r="M42">
        <v>1.25</v>
      </c>
      <c r="N42">
        <v>1.75</v>
      </c>
      <c r="O42" t="s">
        <v>99</v>
      </c>
      <c r="P42" s="15">
        <v>2</v>
      </c>
      <c r="Q42" s="15">
        <v>1</v>
      </c>
      <c r="R42" s="15">
        <v>0</v>
      </c>
      <c r="S42" s="15">
        <v>3</v>
      </c>
      <c r="T42">
        <v>47</v>
      </c>
      <c r="U42">
        <v>32</v>
      </c>
      <c r="V42">
        <v>500</v>
      </c>
      <c r="W42">
        <v>5</v>
      </c>
      <c r="X42" s="15"/>
    </row>
    <row r="43" spans="1:24" x14ac:dyDescent="0.2">
      <c r="A43" s="15" t="s">
        <v>111</v>
      </c>
      <c r="B43" s="15" t="s">
        <v>137</v>
      </c>
      <c r="C43" s="10">
        <v>51.816682999999998</v>
      </c>
      <c r="D43" s="10">
        <v>-1.305917</v>
      </c>
      <c r="E43">
        <v>2</v>
      </c>
      <c r="F43">
        <v>2</v>
      </c>
      <c r="G43">
        <f t="shared" si="0"/>
        <v>4</v>
      </c>
      <c r="H43">
        <v>9</v>
      </c>
      <c r="I43">
        <v>7</v>
      </c>
      <c r="J43">
        <v>42</v>
      </c>
      <c r="K43">
        <v>84</v>
      </c>
      <c r="L43" t="s">
        <v>88</v>
      </c>
      <c r="M43">
        <v>1.25</v>
      </c>
      <c r="N43">
        <v>1.25</v>
      </c>
      <c r="O43" t="s">
        <v>99</v>
      </c>
      <c r="P43" s="15">
        <v>2</v>
      </c>
      <c r="Q43" s="15">
        <v>2</v>
      </c>
      <c r="R43" s="15">
        <v>0</v>
      </c>
      <c r="S43" s="15">
        <v>4</v>
      </c>
      <c r="T43">
        <v>104</v>
      </c>
      <c r="U43">
        <v>48</v>
      </c>
      <c r="V43">
        <v>500</v>
      </c>
      <c r="W43">
        <v>4</v>
      </c>
      <c r="X43" s="15"/>
    </row>
    <row r="44" spans="1:24" x14ac:dyDescent="0.2">
      <c r="A44" s="15" t="s">
        <v>112</v>
      </c>
      <c r="B44" s="15" t="s">
        <v>137</v>
      </c>
      <c r="C44" s="10">
        <v>51.815632999999998</v>
      </c>
      <c r="D44" s="10">
        <v>-1.2991999999999999</v>
      </c>
      <c r="E44">
        <v>4</v>
      </c>
      <c r="F44">
        <v>3</v>
      </c>
      <c r="G44">
        <f t="shared" si="0"/>
        <v>12</v>
      </c>
      <c r="H44">
        <v>2</v>
      </c>
      <c r="I44">
        <v>6</v>
      </c>
      <c r="J44">
        <v>27</v>
      </c>
      <c r="K44">
        <v>179</v>
      </c>
      <c r="L44" t="s">
        <v>83</v>
      </c>
      <c r="M44">
        <v>1.75</v>
      </c>
      <c r="N44">
        <v>2.25</v>
      </c>
      <c r="O44" t="s">
        <v>113</v>
      </c>
      <c r="P44" s="15">
        <v>4</v>
      </c>
      <c r="Q44" s="15">
        <v>1</v>
      </c>
      <c r="R44" s="15">
        <v>0</v>
      </c>
      <c r="S44" s="15">
        <v>5</v>
      </c>
      <c r="T44">
        <v>92</v>
      </c>
      <c r="U44">
        <v>43</v>
      </c>
      <c r="V44">
        <v>95</v>
      </c>
      <c r="W44">
        <v>9</v>
      </c>
      <c r="X44" s="15"/>
    </row>
    <row r="45" spans="1:24" x14ac:dyDescent="0.2">
      <c r="A45" s="15" t="s">
        <v>114</v>
      </c>
      <c r="B45" s="15" t="s">
        <v>137</v>
      </c>
      <c r="C45" s="10">
        <v>51.815617000000003</v>
      </c>
      <c r="D45" s="10">
        <v>-1.3024169999999999</v>
      </c>
      <c r="E45">
        <v>6</v>
      </c>
      <c r="F45">
        <v>3</v>
      </c>
      <c r="G45">
        <f t="shared" si="0"/>
        <v>18</v>
      </c>
      <c r="H45">
        <v>7</v>
      </c>
      <c r="I45">
        <v>6</v>
      </c>
      <c r="J45">
        <v>37</v>
      </c>
      <c r="K45">
        <v>182</v>
      </c>
      <c r="L45" t="s">
        <v>83</v>
      </c>
      <c r="M45">
        <v>2.25</v>
      </c>
      <c r="N45">
        <v>2.25</v>
      </c>
      <c r="O45" t="s">
        <v>115</v>
      </c>
      <c r="P45" s="15">
        <v>3</v>
      </c>
      <c r="Q45" s="15">
        <v>1</v>
      </c>
      <c r="R45" s="15">
        <v>2</v>
      </c>
      <c r="S45" s="15">
        <v>6</v>
      </c>
      <c r="T45">
        <v>82</v>
      </c>
      <c r="U45">
        <v>26.4</v>
      </c>
      <c r="V45">
        <v>500</v>
      </c>
      <c r="W45">
        <v>7</v>
      </c>
      <c r="X45" s="15"/>
    </row>
    <row r="46" spans="1:24" x14ac:dyDescent="0.2">
      <c r="A46" s="15" t="s">
        <v>116</v>
      </c>
      <c r="B46" s="15" t="s">
        <v>137</v>
      </c>
      <c r="C46" s="10">
        <v>51.813732999999999</v>
      </c>
      <c r="D46" s="10">
        <v>-1.3007169999999999</v>
      </c>
      <c r="E46">
        <v>4</v>
      </c>
      <c r="F46">
        <v>2</v>
      </c>
      <c r="G46">
        <f t="shared" si="0"/>
        <v>8</v>
      </c>
      <c r="H46">
        <v>5</v>
      </c>
      <c r="I46">
        <v>7</v>
      </c>
      <c r="J46">
        <v>24</v>
      </c>
      <c r="K46">
        <v>165</v>
      </c>
      <c r="L46" t="s">
        <v>83</v>
      </c>
      <c r="M46">
        <v>2.75</v>
      </c>
      <c r="N46">
        <v>1.75</v>
      </c>
      <c r="O46" t="s">
        <v>86</v>
      </c>
      <c r="P46" s="15">
        <v>3</v>
      </c>
      <c r="Q46" s="15">
        <v>1</v>
      </c>
      <c r="R46" s="15">
        <v>0</v>
      </c>
      <c r="S46" s="15">
        <v>4</v>
      </c>
      <c r="T46">
        <v>45</v>
      </c>
      <c r="U46">
        <v>24.6</v>
      </c>
      <c r="V46">
        <v>200</v>
      </c>
      <c r="W46">
        <v>5</v>
      </c>
      <c r="X46" s="15"/>
    </row>
    <row r="47" spans="1:24" x14ac:dyDescent="0.2">
      <c r="A47" s="15" t="s">
        <v>117</v>
      </c>
      <c r="B47" s="15" t="s">
        <v>137</v>
      </c>
      <c r="C47" s="10">
        <v>51.810867000000002</v>
      </c>
      <c r="D47" s="10">
        <v>-1.3022</v>
      </c>
      <c r="E47">
        <v>8</v>
      </c>
      <c r="F47">
        <v>3</v>
      </c>
      <c r="G47">
        <f t="shared" si="0"/>
        <v>24</v>
      </c>
      <c r="H47">
        <v>10</v>
      </c>
      <c r="I47">
        <v>7</v>
      </c>
      <c r="J47">
        <v>61</v>
      </c>
      <c r="K47">
        <v>314</v>
      </c>
      <c r="L47" t="s">
        <v>103</v>
      </c>
      <c r="M47">
        <v>4.25</v>
      </c>
      <c r="N47">
        <v>3.25</v>
      </c>
      <c r="O47" t="s">
        <v>86</v>
      </c>
      <c r="P47" s="15">
        <v>3</v>
      </c>
      <c r="Q47" s="15">
        <v>1</v>
      </c>
      <c r="R47" s="15">
        <v>2</v>
      </c>
      <c r="S47" s="15">
        <v>6</v>
      </c>
      <c r="T47">
        <v>113</v>
      </c>
      <c r="U47">
        <v>68.400000000000006</v>
      </c>
      <c r="V47">
        <v>390</v>
      </c>
      <c r="W47">
        <v>5</v>
      </c>
      <c r="X47" s="15"/>
    </row>
    <row r="48" spans="1:24" x14ac:dyDescent="0.2">
      <c r="A48" s="15" t="s">
        <v>120</v>
      </c>
      <c r="B48" s="15" t="s">
        <v>137</v>
      </c>
      <c r="C48" s="10">
        <v>51.816716999999997</v>
      </c>
      <c r="D48" s="10">
        <v>-1.293917</v>
      </c>
      <c r="E48">
        <v>8</v>
      </c>
      <c r="F48">
        <v>2</v>
      </c>
      <c r="G48">
        <f t="shared" si="0"/>
        <v>16</v>
      </c>
      <c r="H48">
        <v>8</v>
      </c>
      <c r="I48">
        <v>7</v>
      </c>
      <c r="J48">
        <v>60</v>
      </c>
      <c r="K48">
        <v>174</v>
      </c>
      <c r="L48" t="s">
        <v>83</v>
      </c>
      <c r="M48">
        <v>3.75</v>
      </c>
      <c r="N48">
        <v>2.25</v>
      </c>
      <c r="O48" t="s">
        <v>121</v>
      </c>
      <c r="P48" s="15">
        <v>3</v>
      </c>
      <c r="Q48" s="15">
        <v>1</v>
      </c>
      <c r="R48" s="15">
        <v>2</v>
      </c>
      <c r="S48" s="15">
        <v>6</v>
      </c>
      <c r="T48">
        <v>167</v>
      </c>
      <c r="U48">
        <v>104.8</v>
      </c>
      <c r="V48">
        <v>60</v>
      </c>
      <c r="W48">
        <v>7</v>
      </c>
      <c r="X48" s="15"/>
    </row>
    <row r="49" spans="1:24" x14ac:dyDescent="0.2">
      <c r="A49" s="15" t="s">
        <v>122</v>
      </c>
      <c r="B49" s="15" t="s">
        <v>137</v>
      </c>
      <c r="C49" s="10">
        <v>51.815533000000002</v>
      </c>
      <c r="D49" s="10">
        <v>-1.2947500000000001</v>
      </c>
      <c r="E49">
        <v>6</v>
      </c>
      <c r="F49">
        <v>3</v>
      </c>
      <c r="G49">
        <f t="shared" si="0"/>
        <v>18</v>
      </c>
      <c r="H49">
        <v>8</v>
      </c>
      <c r="I49">
        <v>8</v>
      </c>
      <c r="J49">
        <v>46</v>
      </c>
      <c r="K49">
        <v>350</v>
      </c>
      <c r="L49" t="s">
        <v>97</v>
      </c>
      <c r="M49">
        <v>3.75</v>
      </c>
      <c r="N49">
        <v>2.25</v>
      </c>
      <c r="O49" t="s">
        <v>121</v>
      </c>
      <c r="P49" s="15">
        <v>5</v>
      </c>
      <c r="Q49" s="15">
        <v>1</v>
      </c>
      <c r="R49" s="15">
        <v>1</v>
      </c>
      <c r="S49" s="15">
        <v>7</v>
      </c>
      <c r="T49">
        <v>67</v>
      </c>
      <c r="U49">
        <v>41.4</v>
      </c>
      <c r="V49">
        <v>65</v>
      </c>
      <c r="W49">
        <v>9</v>
      </c>
      <c r="X49" s="15"/>
    </row>
    <row r="50" spans="1:24" x14ac:dyDescent="0.2">
      <c r="A50" s="15" t="s">
        <v>123</v>
      </c>
      <c r="B50" s="15" t="s">
        <v>137</v>
      </c>
      <c r="C50" s="10">
        <v>51.815832999999998</v>
      </c>
      <c r="D50" s="10">
        <v>-1.29295</v>
      </c>
      <c r="E50">
        <v>6</v>
      </c>
      <c r="F50">
        <v>3</v>
      </c>
      <c r="G50">
        <f t="shared" si="0"/>
        <v>18</v>
      </c>
      <c r="H50">
        <v>14</v>
      </c>
      <c r="I50">
        <v>9</v>
      </c>
      <c r="J50">
        <v>74</v>
      </c>
      <c r="K50">
        <v>161</v>
      </c>
      <c r="L50" t="s">
        <v>124</v>
      </c>
      <c r="M50">
        <v>2.75</v>
      </c>
      <c r="N50">
        <v>2.25</v>
      </c>
      <c r="O50" t="s">
        <v>121</v>
      </c>
      <c r="P50" s="15">
        <v>5</v>
      </c>
      <c r="Q50" s="15">
        <v>2</v>
      </c>
      <c r="R50" s="15">
        <v>1</v>
      </c>
      <c r="S50" s="15">
        <v>8</v>
      </c>
      <c r="T50">
        <v>127</v>
      </c>
      <c r="U50">
        <v>44.8</v>
      </c>
      <c r="V50">
        <v>110</v>
      </c>
      <c r="W50">
        <v>9</v>
      </c>
      <c r="X50" s="15"/>
    </row>
    <row r="51" spans="1:24" x14ac:dyDescent="0.2">
      <c r="A51" s="15" t="s">
        <v>125</v>
      </c>
      <c r="B51" s="15" t="s">
        <v>137</v>
      </c>
      <c r="C51" s="10">
        <v>51.815133000000003</v>
      </c>
      <c r="D51" s="10">
        <v>-1.2927</v>
      </c>
      <c r="E51">
        <v>8</v>
      </c>
      <c r="F51">
        <v>3</v>
      </c>
      <c r="G51">
        <f t="shared" si="0"/>
        <v>24</v>
      </c>
      <c r="H51">
        <v>8</v>
      </c>
      <c r="I51">
        <v>8</v>
      </c>
      <c r="J51">
        <v>58</v>
      </c>
      <c r="K51">
        <v>287</v>
      </c>
      <c r="L51" t="s">
        <v>92</v>
      </c>
      <c r="M51">
        <v>4.75</v>
      </c>
      <c r="N51">
        <v>3.75</v>
      </c>
      <c r="O51" t="s">
        <v>121</v>
      </c>
      <c r="P51" s="15">
        <v>5</v>
      </c>
      <c r="Q51" s="15">
        <v>1</v>
      </c>
      <c r="R51" s="15">
        <v>3</v>
      </c>
      <c r="S51" s="15">
        <v>9</v>
      </c>
      <c r="T51">
        <v>76</v>
      </c>
      <c r="U51">
        <v>42.2</v>
      </c>
      <c r="V51">
        <v>110</v>
      </c>
      <c r="W51">
        <v>3</v>
      </c>
      <c r="X51" s="15"/>
    </row>
    <row r="52" spans="1:24" x14ac:dyDescent="0.2">
      <c r="A52" s="15" t="s">
        <v>126</v>
      </c>
      <c r="B52" s="15" t="s">
        <v>137</v>
      </c>
      <c r="C52" s="10">
        <v>51.815100000000001</v>
      </c>
      <c r="D52" s="10">
        <v>-1.2924329999999999</v>
      </c>
      <c r="E52">
        <v>8</v>
      </c>
      <c r="F52">
        <v>3</v>
      </c>
      <c r="G52">
        <f t="shared" si="0"/>
        <v>24</v>
      </c>
      <c r="H52">
        <v>10</v>
      </c>
      <c r="I52">
        <v>7</v>
      </c>
      <c r="J52">
        <v>58</v>
      </c>
      <c r="K52">
        <v>117</v>
      </c>
      <c r="L52" t="s">
        <v>80</v>
      </c>
      <c r="M52">
        <v>4.75</v>
      </c>
      <c r="N52">
        <v>3.75</v>
      </c>
      <c r="O52" t="s">
        <v>113</v>
      </c>
      <c r="P52" s="15">
        <v>5</v>
      </c>
      <c r="Q52" s="15">
        <v>1</v>
      </c>
      <c r="R52" s="15">
        <v>2</v>
      </c>
      <c r="S52" s="15">
        <v>8</v>
      </c>
      <c r="T52">
        <v>36</v>
      </c>
      <c r="U52">
        <v>15</v>
      </c>
      <c r="V52">
        <v>105</v>
      </c>
      <c r="W52">
        <v>8</v>
      </c>
      <c r="X52" s="15"/>
    </row>
    <row r="53" spans="1:24" x14ac:dyDescent="0.2">
      <c r="A53" s="15" t="s">
        <v>127</v>
      </c>
      <c r="B53" s="15" t="s">
        <v>137</v>
      </c>
      <c r="C53" s="10">
        <v>51.812600000000003</v>
      </c>
      <c r="D53" s="10">
        <v>-1.293833</v>
      </c>
      <c r="E53">
        <v>8</v>
      </c>
      <c r="F53">
        <v>3</v>
      </c>
      <c r="G53">
        <f t="shared" si="0"/>
        <v>24</v>
      </c>
      <c r="H53">
        <v>9</v>
      </c>
      <c r="I53">
        <v>6</v>
      </c>
      <c r="J53">
        <v>80</v>
      </c>
      <c r="K53">
        <v>102</v>
      </c>
      <c r="L53" t="s">
        <v>88</v>
      </c>
      <c r="M53">
        <v>3.75</v>
      </c>
      <c r="N53">
        <v>3.25</v>
      </c>
      <c r="O53" t="s">
        <v>113</v>
      </c>
      <c r="P53" s="15">
        <v>4</v>
      </c>
      <c r="Q53" s="15">
        <v>2</v>
      </c>
      <c r="R53" s="15">
        <v>2</v>
      </c>
      <c r="S53" s="15">
        <v>8</v>
      </c>
      <c r="T53">
        <v>58</v>
      </c>
      <c r="U53">
        <v>18.2</v>
      </c>
      <c r="V53">
        <v>125</v>
      </c>
      <c r="W53">
        <v>7</v>
      </c>
      <c r="X53" s="15"/>
    </row>
    <row r="54" spans="1:24" x14ac:dyDescent="0.2">
      <c r="A54" s="15" t="s">
        <v>128</v>
      </c>
      <c r="B54" s="15" t="s">
        <v>137</v>
      </c>
      <c r="C54" s="10">
        <v>51.809583000000003</v>
      </c>
      <c r="D54" s="10">
        <v>-1.2956669999999999</v>
      </c>
      <c r="E54">
        <v>8</v>
      </c>
      <c r="F54">
        <v>3</v>
      </c>
      <c r="G54">
        <f t="shared" si="0"/>
        <v>24</v>
      </c>
      <c r="H54">
        <v>11</v>
      </c>
      <c r="I54">
        <v>7</v>
      </c>
      <c r="J54">
        <v>42</v>
      </c>
      <c r="K54">
        <v>98</v>
      </c>
      <c r="L54" t="s">
        <v>88</v>
      </c>
      <c r="M54">
        <v>3.25</v>
      </c>
      <c r="N54">
        <v>3.25</v>
      </c>
      <c r="O54" t="s">
        <v>113</v>
      </c>
      <c r="P54" s="15">
        <v>3</v>
      </c>
      <c r="Q54" s="15">
        <v>1</v>
      </c>
      <c r="R54" s="15">
        <v>4</v>
      </c>
      <c r="S54" s="15">
        <v>8</v>
      </c>
      <c r="T54">
        <v>43</v>
      </c>
      <c r="U54">
        <v>20.399999999999999</v>
      </c>
      <c r="V54">
        <v>100</v>
      </c>
      <c r="W54">
        <v>9</v>
      </c>
      <c r="X54" s="15"/>
    </row>
    <row r="55" spans="1:24" x14ac:dyDescent="0.2">
      <c r="A55" s="15" t="s">
        <v>129</v>
      </c>
      <c r="B55" s="15" t="s">
        <v>137</v>
      </c>
      <c r="C55" s="10">
        <v>51.807749999999999</v>
      </c>
      <c r="D55" s="10">
        <v>-1.29295</v>
      </c>
      <c r="E55">
        <v>8</v>
      </c>
      <c r="F55">
        <v>2</v>
      </c>
      <c r="G55">
        <f t="shared" si="0"/>
        <v>16</v>
      </c>
      <c r="H55">
        <v>6</v>
      </c>
      <c r="I55">
        <v>9</v>
      </c>
      <c r="J55">
        <v>44</v>
      </c>
      <c r="K55">
        <v>285</v>
      </c>
      <c r="L55" t="s">
        <v>92</v>
      </c>
      <c r="M55">
        <v>3.25</v>
      </c>
      <c r="N55">
        <v>3.75</v>
      </c>
      <c r="O55" t="s">
        <v>113</v>
      </c>
      <c r="P55" s="15">
        <v>6</v>
      </c>
      <c r="Q55" s="15">
        <v>1</v>
      </c>
      <c r="R55" s="15">
        <v>2</v>
      </c>
      <c r="S55" s="15">
        <v>9</v>
      </c>
      <c r="T55">
        <v>49</v>
      </c>
      <c r="U55">
        <v>21.8</v>
      </c>
      <c r="V55">
        <v>50</v>
      </c>
      <c r="W55">
        <v>6</v>
      </c>
      <c r="X55" s="15"/>
    </row>
    <row r="56" spans="1:24" x14ac:dyDescent="0.2">
      <c r="A56" s="15" t="s">
        <v>130</v>
      </c>
      <c r="B56" s="15" t="s">
        <v>137</v>
      </c>
      <c r="C56" s="10">
        <v>51.808599999999998</v>
      </c>
      <c r="D56" s="10">
        <v>-1.288683</v>
      </c>
      <c r="E56">
        <v>6</v>
      </c>
      <c r="F56">
        <v>3</v>
      </c>
      <c r="G56">
        <f t="shared" si="0"/>
        <v>18</v>
      </c>
      <c r="H56">
        <v>12</v>
      </c>
      <c r="I56">
        <v>8</v>
      </c>
      <c r="J56">
        <v>82</v>
      </c>
      <c r="K56">
        <v>274</v>
      </c>
      <c r="L56" t="s">
        <v>92</v>
      </c>
      <c r="M56">
        <v>3.25</v>
      </c>
      <c r="N56">
        <v>3.75</v>
      </c>
      <c r="O56" t="s">
        <v>113</v>
      </c>
      <c r="P56" s="15">
        <v>4</v>
      </c>
      <c r="Q56" s="15">
        <v>1</v>
      </c>
      <c r="R56" s="15">
        <v>3</v>
      </c>
      <c r="S56" s="15">
        <v>8</v>
      </c>
      <c r="T56">
        <v>55</v>
      </c>
      <c r="U56">
        <v>29.2</v>
      </c>
      <c r="V56">
        <v>70</v>
      </c>
      <c r="W56">
        <v>6</v>
      </c>
      <c r="X56" s="15"/>
    </row>
    <row r="57" spans="1:24" x14ac:dyDescent="0.2">
      <c r="A57" s="15" t="s">
        <v>131</v>
      </c>
      <c r="B57" s="15" t="s">
        <v>137</v>
      </c>
      <c r="C57" s="10">
        <v>51.811216999999999</v>
      </c>
      <c r="D57" s="10">
        <v>-1.2882830000000001</v>
      </c>
      <c r="E57">
        <v>6</v>
      </c>
      <c r="F57">
        <v>3</v>
      </c>
      <c r="G57">
        <f t="shared" si="0"/>
        <v>18</v>
      </c>
      <c r="H57">
        <v>10</v>
      </c>
      <c r="I57">
        <v>10</v>
      </c>
      <c r="J57">
        <v>47</v>
      </c>
      <c r="K57">
        <v>278</v>
      </c>
      <c r="L57" t="s">
        <v>92</v>
      </c>
      <c r="M57">
        <v>2.75</v>
      </c>
      <c r="N57">
        <v>3.25</v>
      </c>
      <c r="O57" t="s">
        <v>113</v>
      </c>
      <c r="P57" s="15">
        <v>2</v>
      </c>
      <c r="Q57" s="15">
        <v>2</v>
      </c>
      <c r="R57" s="15">
        <v>1</v>
      </c>
      <c r="S57" s="15">
        <v>5</v>
      </c>
      <c r="T57">
        <v>53</v>
      </c>
      <c r="U57">
        <v>27.6</v>
      </c>
      <c r="V57">
        <v>105</v>
      </c>
      <c r="W57">
        <v>8</v>
      </c>
      <c r="X57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FF07-73A5-EE4A-B1C7-E0D86E2F1BEB}">
  <dimension ref="A1:W57"/>
  <sheetViews>
    <sheetView topLeftCell="F1" workbookViewId="0">
      <selection activeCell="D1" sqref="D1"/>
    </sheetView>
  </sheetViews>
  <sheetFormatPr baseColWidth="10" defaultRowHeight="16" x14ac:dyDescent="0.2"/>
  <sheetData>
    <row r="1" spans="1:23" s="1" customFormat="1" ht="152" x14ac:dyDescent="0.2">
      <c r="A1" s="14" t="s">
        <v>0</v>
      </c>
      <c r="B1" s="14" t="s">
        <v>134</v>
      </c>
      <c r="C1" s="25" t="s">
        <v>1</v>
      </c>
      <c r="D1" s="25" t="s">
        <v>2</v>
      </c>
      <c r="E1" s="17" t="s">
        <v>5</v>
      </c>
      <c r="F1" s="17" t="s">
        <v>6</v>
      </c>
      <c r="G1" s="17" t="s">
        <v>7</v>
      </c>
      <c r="H1" s="17" t="s">
        <v>293</v>
      </c>
      <c r="I1" s="17" t="s">
        <v>294</v>
      </c>
      <c r="J1" s="17" t="s">
        <v>295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4" t="s">
        <v>285</v>
      </c>
      <c r="Q1" s="14" t="s">
        <v>286</v>
      </c>
      <c r="R1" s="14" t="s">
        <v>287</v>
      </c>
      <c r="S1" s="14" t="s">
        <v>288</v>
      </c>
      <c r="T1" s="14" t="s">
        <v>289</v>
      </c>
      <c r="U1" s="14" t="s">
        <v>290</v>
      </c>
      <c r="V1" s="70" t="s">
        <v>291</v>
      </c>
      <c r="W1" s="69" t="s">
        <v>292</v>
      </c>
    </row>
    <row r="2" spans="1:23" x14ac:dyDescent="0.2">
      <c r="A2" s="15" t="s">
        <v>72</v>
      </c>
      <c r="B2" s="15" t="s">
        <v>136</v>
      </c>
      <c r="C2" s="28">
        <v>51.822099999999999</v>
      </c>
      <c r="D2" s="28">
        <v>-1.2992330000000001</v>
      </c>
      <c r="E2" s="15">
        <v>6</v>
      </c>
      <c r="F2" s="15">
        <v>3</v>
      </c>
      <c r="G2" s="15">
        <v>18</v>
      </c>
      <c r="H2">
        <v>0</v>
      </c>
      <c r="I2">
        <v>0</v>
      </c>
      <c r="J2" s="15">
        <v>0</v>
      </c>
      <c r="K2" s="15">
        <v>225</v>
      </c>
      <c r="L2" s="15" t="s">
        <v>74</v>
      </c>
      <c r="M2" s="15">
        <v>3.25</v>
      </c>
      <c r="N2" s="15">
        <v>2.75</v>
      </c>
      <c r="O2" s="15" t="s">
        <v>77</v>
      </c>
      <c r="P2" s="15">
        <v>5</v>
      </c>
      <c r="Q2" s="15">
        <v>2</v>
      </c>
      <c r="R2" s="15">
        <v>2</v>
      </c>
      <c r="S2" s="15">
        <v>9</v>
      </c>
      <c r="T2" s="15">
        <v>91</v>
      </c>
      <c r="U2" s="15">
        <v>42</v>
      </c>
      <c r="V2" s="15">
        <v>320</v>
      </c>
      <c r="W2" s="15">
        <v>9</v>
      </c>
    </row>
    <row r="3" spans="1:23" x14ac:dyDescent="0.2">
      <c r="A3" s="15" t="s">
        <v>78</v>
      </c>
      <c r="B3" s="15" t="s">
        <v>136</v>
      </c>
      <c r="C3" s="28">
        <v>51.822516999999998</v>
      </c>
      <c r="D3" s="28">
        <v>-1.3022499999999999</v>
      </c>
      <c r="E3" s="15">
        <v>8</v>
      </c>
      <c r="F3" s="15">
        <v>3</v>
      </c>
      <c r="G3" s="15">
        <v>24</v>
      </c>
      <c r="H3">
        <v>10</v>
      </c>
      <c r="I3">
        <v>4</v>
      </c>
      <c r="J3" s="15">
        <v>0</v>
      </c>
      <c r="K3" s="15">
        <v>150</v>
      </c>
      <c r="L3" s="15" t="s">
        <v>80</v>
      </c>
      <c r="M3" s="15">
        <v>4.75</v>
      </c>
      <c r="N3" s="15">
        <v>3.25</v>
      </c>
      <c r="O3" s="15" t="s">
        <v>77</v>
      </c>
      <c r="P3" s="15">
        <v>9</v>
      </c>
      <c r="Q3" s="15">
        <v>2</v>
      </c>
      <c r="R3" s="15">
        <v>4</v>
      </c>
      <c r="S3" s="15">
        <v>15</v>
      </c>
      <c r="T3" s="15">
        <v>72</v>
      </c>
      <c r="U3" s="15">
        <v>27.6</v>
      </c>
      <c r="V3" s="15">
        <v>500</v>
      </c>
      <c r="W3" s="15">
        <v>15</v>
      </c>
    </row>
    <row r="4" spans="1:23" x14ac:dyDescent="0.2">
      <c r="A4" s="15" t="s">
        <v>82</v>
      </c>
      <c r="B4" s="15" t="s">
        <v>136</v>
      </c>
      <c r="C4" s="28">
        <v>51.823616999999999</v>
      </c>
      <c r="D4" s="28">
        <v>-1.3056000000000001</v>
      </c>
      <c r="E4" s="15">
        <v>6</v>
      </c>
      <c r="F4" s="15">
        <v>3</v>
      </c>
      <c r="G4" s="15">
        <v>18</v>
      </c>
      <c r="H4">
        <v>4</v>
      </c>
      <c r="I4">
        <v>1</v>
      </c>
      <c r="J4" s="15">
        <v>0</v>
      </c>
      <c r="K4" s="15">
        <v>179</v>
      </c>
      <c r="L4" s="15" t="s">
        <v>83</v>
      </c>
      <c r="M4" s="15">
        <v>1.75</v>
      </c>
      <c r="N4" s="15">
        <v>2.25</v>
      </c>
      <c r="O4" s="15" t="s">
        <v>86</v>
      </c>
      <c r="P4" s="15">
        <v>4</v>
      </c>
      <c r="Q4" s="15">
        <v>1</v>
      </c>
      <c r="R4" s="15">
        <v>2</v>
      </c>
      <c r="S4" s="15">
        <v>7</v>
      </c>
      <c r="T4" s="15">
        <v>52</v>
      </c>
      <c r="U4" s="15">
        <v>34.200000000000003</v>
      </c>
      <c r="V4" s="15">
        <v>100</v>
      </c>
      <c r="W4" s="15">
        <v>7</v>
      </c>
    </row>
    <row r="5" spans="1:23" x14ac:dyDescent="0.2">
      <c r="A5" s="15" t="s">
        <v>87</v>
      </c>
      <c r="B5" s="15" t="s">
        <v>136</v>
      </c>
      <c r="C5" s="28">
        <v>51.822032999999998</v>
      </c>
      <c r="D5" s="28">
        <v>-1.30945</v>
      </c>
      <c r="E5" s="15">
        <v>6</v>
      </c>
      <c r="F5" s="15">
        <v>3</v>
      </c>
      <c r="G5" s="15">
        <v>18</v>
      </c>
      <c r="H5">
        <v>5</v>
      </c>
      <c r="I5">
        <v>3</v>
      </c>
      <c r="J5" s="15">
        <v>0</v>
      </c>
      <c r="K5" s="15">
        <v>88</v>
      </c>
      <c r="L5" s="15" t="s">
        <v>88</v>
      </c>
      <c r="M5" s="15">
        <v>4.75</v>
      </c>
      <c r="N5" s="15">
        <v>3.75</v>
      </c>
      <c r="O5" s="15" t="s">
        <v>86</v>
      </c>
      <c r="P5" s="15">
        <v>5</v>
      </c>
      <c r="Q5" s="15">
        <v>2</v>
      </c>
      <c r="R5" s="15">
        <v>0</v>
      </c>
      <c r="S5" s="15">
        <v>7</v>
      </c>
      <c r="T5" s="15">
        <v>55</v>
      </c>
      <c r="U5" s="15">
        <v>20.399999999999999</v>
      </c>
      <c r="V5" s="15">
        <v>225</v>
      </c>
      <c r="W5" s="15">
        <v>4</v>
      </c>
    </row>
    <row r="6" spans="1:23" x14ac:dyDescent="0.2">
      <c r="A6" s="15" t="s">
        <v>90</v>
      </c>
      <c r="B6" s="15" t="s">
        <v>136</v>
      </c>
      <c r="C6" s="28">
        <v>51.820900000000002</v>
      </c>
      <c r="D6" s="28">
        <v>-1.3093669999999999</v>
      </c>
      <c r="E6" s="15">
        <v>2</v>
      </c>
      <c r="F6" s="15">
        <v>2</v>
      </c>
      <c r="G6" s="15">
        <v>4</v>
      </c>
      <c r="H6">
        <v>12</v>
      </c>
      <c r="I6">
        <v>5</v>
      </c>
      <c r="J6" s="15">
        <v>0</v>
      </c>
      <c r="K6" s="15">
        <v>255</v>
      </c>
      <c r="L6" s="15" t="s">
        <v>92</v>
      </c>
      <c r="M6" s="15">
        <v>2.25</v>
      </c>
      <c r="N6" s="15">
        <v>1.75</v>
      </c>
      <c r="O6" s="15" t="s">
        <v>86</v>
      </c>
      <c r="P6" s="15">
        <v>3</v>
      </c>
      <c r="Q6" s="15">
        <v>3</v>
      </c>
      <c r="R6" s="15">
        <v>0</v>
      </c>
      <c r="S6" s="15">
        <v>6</v>
      </c>
      <c r="T6" s="15">
        <v>91</v>
      </c>
      <c r="U6" s="15">
        <v>32.4</v>
      </c>
      <c r="V6" s="15">
        <v>130</v>
      </c>
      <c r="W6" s="15">
        <v>6</v>
      </c>
    </row>
    <row r="7" spans="1:23" x14ac:dyDescent="0.2">
      <c r="A7" s="15" t="s">
        <v>93</v>
      </c>
      <c r="B7" s="15" t="s">
        <v>136</v>
      </c>
      <c r="C7" s="28">
        <v>51.818367000000002</v>
      </c>
      <c r="D7" s="28">
        <v>-1.3125830000000001</v>
      </c>
      <c r="E7" s="15">
        <v>6</v>
      </c>
      <c r="F7" s="15">
        <v>2</v>
      </c>
      <c r="G7" s="15">
        <v>12</v>
      </c>
      <c r="H7">
        <v>11</v>
      </c>
      <c r="I7">
        <v>3</v>
      </c>
      <c r="J7" s="15">
        <v>0</v>
      </c>
      <c r="K7" s="15">
        <v>255</v>
      </c>
      <c r="L7" s="15" t="s">
        <v>92</v>
      </c>
      <c r="M7" s="15">
        <v>3.25</v>
      </c>
      <c r="N7" s="15">
        <v>2.25</v>
      </c>
      <c r="O7" s="15" t="s">
        <v>94</v>
      </c>
      <c r="P7" s="15">
        <v>5</v>
      </c>
      <c r="Q7" s="15">
        <v>2</v>
      </c>
      <c r="R7" s="15">
        <v>2</v>
      </c>
      <c r="S7" s="15">
        <v>9</v>
      </c>
      <c r="T7" s="15">
        <v>69</v>
      </c>
      <c r="U7" s="15">
        <v>12.6</v>
      </c>
      <c r="V7" s="15">
        <v>225</v>
      </c>
      <c r="W7" s="15">
        <v>4</v>
      </c>
    </row>
    <row r="8" spans="1:23" x14ac:dyDescent="0.2">
      <c r="A8" s="15" t="s">
        <v>95</v>
      </c>
      <c r="B8" s="15" t="s">
        <v>136</v>
      </c>
      <c r="C8" s="28">
        <v>51.817667</v>
      </c>
      <c r="D8" s="28">
        <v>-1.314683</v>
      </c>
      <c r="E8" s="15">
        <v>4</v>
      </c>
      <c r="F8" s="15">
        <v>3</v>
      </c>
      <c r="G8" s="15">
        <v>12</v>
      </c>
      <c r="H8">
        <v>4</v>
      </c>
      <c r="I8">
        <v>3</v>
      </c>
      <c r="J8" s="15">
        <v>0</v>
      </c>
      <c r="K8" s="15">
        <v>2</v>
      </c>
      <c r="L8" s="15" t="s">
        <v>97</v>
      </c>
      <c r="M8" s="15">
        <v>1.75</v>
      </c>
      <c r="N8" s="15">
        <v>1.75</v>
      </c>
      <c r="O8" s="15" t="s">
        <v>94</v>
      </c>
      <c r="P8" s="15">
        <v>7</v>
      </c>
      <c r="Q8" s="15">
        <v>1</v>
      </c>
      <c r="R8" s="15">
        <v>0</v>
      </c>
      <c r="S8" s="15">
        <v>8</v>
      </c>
      <c r="T8" s="15">
        <v>86</v>
      </c>
      <c r="U8" s="15">
        <v>20.2</v>
      </c>
      <c r="V8" s="15">
        <v>145</v>
      </c>
      <c r="W8" s="15">
        <v>7</v>
      </c>
    </row>
    <row r="9" spans="1:23" x14ac:dyDescent="0.2">
      <c r="A9" s="15" t="s">
        <v>98</v>
      </c>
      <c r="B9" s="15" t="s">
        <v>136</v>
      </c>
      <c r="C9" s="28">
        <v>51.817332999999998</v>
      </c>
      <c r="D9" s="28">
        <v>-1.3145</v>
      </c>
      <c r="E9" s="15">
        <v>6</v>
      </c>
      <c r="F9" s="15">
        <v>3</v>
      </c>
      <c r="G9" s="15">
        <v>18</v>
      </c>
      <c r="H9">
        <v>10</v>
      </c>
      <c r="I9">
        <v>2</v>
      </c>
      <c r="J9" s="15">
        <v>0</v>
      </c>
      <c r="K9" s="15">
        <v>171</v>
      </c>
      <c r="L9" s="15" t="s">
        <v>83</v>
      </c>
      <c r="M9" s="15">
        <v>4.75</v>
      </c>
      <c r="N9" s="15">
        <v>3.75</v>
      </c>
      <c r="O9" s="15" t="s">
        <v>99</v>
      </c>
      <c r="P9" s="15">
        <v>2</v>
      </c>
      <c r="Q9" s="15">
        <v>1</v>
      </c>
      <c r="R9" s="15">
        <v>2</v>
      </c>
      <c r="S9" s="15">
        <v>5</v>
      </c>
      <c r="T9" s="15">
        <v>121</v>
      </c>
      <c r="U9" s="15">
        <v>44</v>
      </c>
      <c r="V9" s="15">
        <v>195</v>
      </c>
      <c r="W9" s="15">
        <v>10</v>
      </c>
    </row>
    <row r="10" spans="1:23" x14ac:dyDescent="0.2">
      <c r="A10" s="15" t="s">
        <v>100</v>
      </c>
      <c r="B10" s="15" t="s">
        <v>136</v>
      </c>
      <c r="C10" s="28">
        <v>51.816682999999998</v>
      </c>
      <c r="D10" s="28">
        <v>-1.31325</v>
      </c>
      <c r="E10" s="15">
        <v>6</v>
      </c>
      <c r="F10" s="15">
        <v>2</v>
      </c>
      <c r="G10" s="15">
        <v>12</v>
      </c>
      <c r="H10">
        <v>1</v>
      </c>
      <c r="I10">
        <v>1</v>
      </c>
      <c r="J10" s="15">
        <v>0</v>
      </c>
      <c r="K10" s="15">
        <v>268</v>
      </c>
      <c r="L10" s="15" t="s">
        <v>92</v>
      </c>
      <c r="M10" s="15">
        <v>3.25</v>
      </c>
      <c r="N10" s="15">
        <v>3.75</v>
      </c>
      <c r="O10" s="15" t="s">
        <v>94</v>
      </c>
      <c r="P10" s="15">
        <v>4</v>
      </c>
      <c r="Q10" s="15">
        <v>2</v>
      </c>
      <c r="R10" s="15">
        <v>1</v>
      </c>
      <c r="S10" s="15">
        <v>7</v>
      </c>
      <c r="T10" s="15">
        <v>136</v>
      </c>
      <c r="U10" s="15">
        <v>61.2</v>
      </c>
      <c r="V10" s="15">
        <v>160</v>
      </c>
      <c r="W10" s="15">
        <v>10</v>
      </c>
    </row>
    <row r="11" spans="1:23" x14ac:dyDescent="0.2">
      <c r="A11" s="15" t="s">
        <v>105</v>
      </c>
      <c r="B11" s="15" t="s">
        <v>136</v>
      </c>
      <c r="C11" s="28">
        <v>51.817749999999997</v>
      </c>
      <c r="D11" s="28">
        <v>-1.310883</v>
      </c>
      <c r="E11" s="15">
        <v>4</v>
      </c>
      <c r="F11" s="15">
        <v>3</v>
      </c>
      <c r="G11" s="15">
        <v>12</v>
      </c>
      <c r="H11">
        <v>1</v>
      </c>
      <c r="I11">
        <v>1</v>
      </c>
      <c r="J11" s="15">
        <v>0</v>
      </c>
      <c r="K11" s="15">
        <v>0</v>
      </c>
      <c r="L11" s="15" t="s">
        <v>97</v>
      </c>
      <c r="M11" s="15">
        <v>2.25</v>
      </c>
      <c r="N11" s="15">
        <v>1.75</v>
      </c>
      <c r="O11" s="15" t="s">
        <v>94</v>
      </c>
      <c r="P11" s="15">
        <v>6</v>
      </c>
      <c r="Q11" s="15">
        <v>1</v>
      </c>
      <c r="R11" s="15">
        <v>0</v>
      </c>
      <c r="S11" s="15">
        <v>7</v>
      </c>
      <c r="T11" s="15">
        <v>56</v>
      </c>
      <c r="U11" s="15">
        <v>17.399999999999999</v>
      </c>
      <c r="V11" s="15">
        <v>75</v>
      </c>
      <c r="W11" s="15">
        <v>4</v>
      </c>
    </row>
    <row r="12" spans="1:23" x14ac:dyDescent="0.2">
      <c r="A12" s="15" t="s">
        <v>106</v>
      </c>
      <c r="B12" s="15" t="s">
        <v>136</v>
      </c>
      <c r="C12" s="28">
        <v>51.816133000000001</v>
      </c>
      <c r="D12" s="28">
        <v>-1.3091330000000001</v>
      </c>
      <c r="E12" s="15">
        <v>4</v>
      </c>
      <c r="F12" s="15">
        <v>3</v>
      </c>
      <c r="G12" s="15">
        <v>12</v>
      </c>
      <c r="H12">
        <v>6</v>
      </c>
      <c r="I12">
        <v>4</v>
      </c>
      <c r="J12" s="15">
        <v>0</v>
      </c>
      <c r="K12" s="15">
        <v>358</v>
      </c>
      <c r="L12" s="15" t="s">
        <v>97</v>
      </c>
      <c r="M12" s="15">
        <v>2.25</v>
      </c>
      <c r="N12" s="15">
        <v>2.25</v>
      </c>
      <c r="O12" s="15" t="s">
        <v>94</v>
      </c>
      <c r="P12" s="15">
        <v>7</v>
      </c>
      <c r="Q12" s="15">
        <v>1</v>
      </c>
      <c r="R12" s="15">
        <v>0</v>
      </c>
      <c r="S12" s="15">
        <v>8</v>
      </c>
      <c r="T12" s="15">
        <v>42</v>
      </c>
      <c r="U12" s="15">
        <v>18.600000000000001</v>
      </c>
      <c r="V12" s="15">
        <v>90</v>
      </c>
      <c r="W12" s="15">
        <v>5</v>
      </c>
    </row>
    <row r="13" spans="1:23" x14ac:dyDescent="0.2">
      <c r="A13" s="15" t="s">
        <v>107</v>
      </c>
      <c r="B13" s="15" t="s">
        <v>136</v>
      </c>
      <c r="C13" s="28">
        <v>51.815100000000001</v>
      </c>
      <c r="D13" s="28">
        <v>-1.307833</v>
      </c>
      <c r="E13" s="15">
        <v>4</v>
      </c>
      <c r="F13" s="15">
        <v>3</v>
      </c>
      <c r="G13" s="15">
        <v>12</v>
      </c>
      <c r="H13">
        <v>6</v>
      </c>
      <c r="I13">
        <v>4</v>
      </c>
      <c r="J13" s="15">
        <v>0</v>
      </c>
      <c r="K13" s="15">
        <v>4</v>
      </c>
      <c r="L13" s="15" t="s">
        <v>97</v>
      </c>
      <c r="M13" s="15">
        <v>1.75</v>
      </c>
      <c r="N13" s="15">
        <v>1.75</v>
      </c>
      <c r="O13" s="15" t="s">
        <v>108</v>
      </c>
      <c r="P13" s="15">
        <v>4</v>
      </c>
      <c r="Q13" s="15">
        <v>2</v>
      </c>
      <c r="R13" s="15">
        <v>0</v>
      </c>
      <c r="S13" s="15">
        <v>6</v>
      </c>
      <c r="T13" s="15">
        <v>83</v>
      </c>
      <c r="U13" s="15">
        <v>41.6</v>
      </c>
      <c r="V13" s="15">
        <v>310</v>
      </c>
      <c r="W13" s="15">
        <v>16</v>
      </c>
    </row>
    <row r="14" spans="1:23" x14ac:dyDescent="0.2">
      <c r="A14" s="15" t="s">
        <v>109</v>
      </c>
      <c r="B14" s="15" t="s">
        <v>136</v>
      </c>
      <c r="C14" s="28">
        <v>51.816766999999999</v>
      </c>
      <c r="D14" s="28">
        <v>-1.3060499999999999</v>
      </c>
      <c r="E14" s="15">
        <v>2</v>
      </c>
      <c r="F14" s="15">
        <v>2</v>
      </c>
      <c r="G14" s="15">
        <v>4</v>
      </c>
      <c r="H14">
        <v>3</v>
      </c>
      <c r="I14">
        <v>2</v>
      </c>
      <c r="J14" s="15">
        <v>0</v>
      </c>
      <c r="K14" s="15">
        <v>268</v>
      </c>
      <c r="L14" s="15" t="s">
        <v>92</v>
      </c>
      <c r="M14" s="15">
        <v>1.25</v>
      </c>
      <c r="N14" s="15">
        <v>1.75</v>
      </c>
      <c r="O14" s="15" t="s">
        <v>99</v>
      </c>
      <c r="P14" s="15">
        <v>2</v>
      </c>
      <c r="Q14" s="15">
        <v>1</v>
      </c>
      <c r="R14" s="15">
        <v>0</v>
      </c>
      <c r="S14" s="15">
        <v>3</v>
      </c>
      <c r="T14" s="15">
        <v>68</v>
      </c>
      <c r="U14" s="15">
        <v>58.8</v>
      </c>
      <c r="V14" s="15">
        <v>500</v>
      </c>
      <c r="W14" s="15">
        <v>5</v>
      </c>
    </row>
    <row r="15" spans="1:23" x14ac:dyDescent="0.2">
      <c r="A15" s="15" t="s">
        <v>111</v>
      </c>
      <c r="B15" s="15" t="s">
        <v>136</v>
      </c>
      <c r="C15" s="28">
        <v>51.816682999999998</v>
      </c>
      <c r="D15" s="28">
        <v>-1.305917</v>
      </c>
      <c r="E15" s="15">
        <v>2</v>
      </c>
      <c r="F15" s="15">
        <v>2</v>
      </c>
      <c r="G15" s="15">
        <v>4</v>
      </c>
      <c r="H15">
        <v>5</v>
      </c>
      <c r="I15">
        <v>2</v>
      </c>
      <c r="J15" s="15">
        <v>0</v>
      </c>
      <c r="K15" s="15">
        <v>84</v>
      </c>
      <c r="L15" s="15" t="s">
        <v>88</v>
      </c>
      <c r="M15" s="15">
        <v>1.25</v>
      </c>
      <c r="N15" s="15">
        <v>1.25</v>
      </c>
      <c r="O15" s="15" t="s">
        <v>99</v>
      </c>
      <c r="P15" s="15">
        <v>2</v>
      </c>
      <c r="Q15" s="15">
        <v>2</v>
      </c>
      <c r="R15" s="15">
        <v>0</v>
      </c>
      <c r="S15" s="15">
        <v>4</v>
      </c>
      <c r="T15" s="15">
        <v>117</v>
      </c>
      <c r="U15" s="15">
        <v>56.8</v>
      </c>
      <c r="V15" s="15">
        <v>500</v>
      </c>
      <c r="W15" s="15">
        <v>5</v>
      </c>
    </row>
    <row r="16" spans="1:23" x14ac:dyDescent="0.2">
      <c r="A16" s="15" t="s">
        <v>112</v>
      </c>
      <c r="B16" s="15" t="s">
        <v>136</v>
      </c>
      <c r="C16" s="28">
        <v>51.815632999999998</v>
      </c>
      <c r="D16" s="28">
        <v>-1.2991999999999999</v>
      </c>
      <c r="E16" s="15">
        <v>4</v>
      </c>
      <c r="F16" s="15">
        <v>3</v>
      </c>
      <c r="G16" s="15">
        <v>12</v>
      </c>
      <c r="H16">
        <v>1</v>
      </c>
      <c r="I16">
        <v>1</v>
      </c>
      <c r="J16" s="15">
        <v>0</v>
      </c>
      <c r="K16" s="15">
        <v>179</v>
      </c>
      <c r="L16" s="15" t="s">
        <v>83</v>
      </c>
      <c r="M16" s="15">
        <v>1.75</v>
      </c>
      <c r="N16" s="15">
        <v>2.25</v>
      </c>
      <c r="O16" s="15" t="s">
        <v>113</v>
      </c>
      <c r="P16" s="15">
        <v>4</v>
      </c>
      <c r="Q16" s="15">
        <v>1</v>
      </c>
      <c r="R16" s="15">
        <v>0</v>
      </c>
      <c r="S16" s="15">
        <v>5</v>
      </c>
      <c r="T16" s="15">
        <v>142</v>
      </c>
      <c r="U16" s="15">
        <v>53.4</v>
      </c>
      <c r="V16" s="15">
        <v>95</v>
      </c>
      <c r="W16" s="15">
        <v>10</v>
      </c>
    </row>
    <row r="17" spans="1:23" x14ac:dyDescent="0.2">
      <c r="A17" s="15" t="s">
        <v>114</v>
      </c>
      <c r="B17" s="15" t="s">
        <v>136</v>
      </c>
      <c r="C17" s="28">
        <v>51.815617000000003</v>
      </c>
      <c r="D17" s="28">
        <v>-1.3024169999999999</v>
      </c>
      <c r="E17" s="15">
        <v>6</v>
      </c>
      <c r="F17" s="15">
        <v>3</v>
      </c>
      <c r="G17" s="15">
        <v>18</v>
      </c>
      <c r="H17">
        <v>3</v>
      </c>
      <c r="I17">
        <v>2</v>
      </c>
      <c r="J17" s="15">
        <v>0</v>
      </c>
      <c r="K17" s="15">
        <v>182</v>
      </c>
      <c r="L17" s="15" t="s">
        <v>83</v>
      </c>
      <c r="M17" s="15">
        <v>2.25</v>
      </c>
      <c r="N17" s="15">
        <v>2.25</v>
      </c>
      <c r="O17" s="15" t="s">
        <v>115</v>
      </c>
      <c r="P17" s="15">
        <v>3</v>
      </c>
      <c r="Q17" s="15">
        <v>1</v>
      </c>
      <c r="R17" s="15">
        <v>2</v>
      </c>
      <c r="S17" s="15">
        <v>6</v>
      </c>
      <c r="T17" s="15">
        <v>117</v>
      </c>
      <c r="U17" s="15">
        <v>52</v>
      </c>
      <c r="V17" s="15">
        <v>500</v>
      </c>
      <c r="W17" s="15">
        <v>7</v>
      </c>
    </row>
    <row r="18" spans="1:23" x14ac:dyDescent="0.2">
      <c r="A18" s="15" t="s">
        <v>116</v>
      </c>
      <c r="B18" s="15" t="s">
        <v>136</v>
      </c>
      <c r="C18" s="28">
        <v>51.813732999999999</v>
      </c>
      <c r="D18" s="28">
        <v>-1.3007169999999999</v>
      </c>
      <c r="E18" s="15">
        <v>4</v>
      </c>
      <c r="F18" s="15">
        <v>2</v>
      </c>
      <c r="G18" s="15">
        <v>8</v>
      </c>
      <c r="H18">
        <v>0</v>
      </c>
      <c r="I18">
        <v>0</v>
      </c>
      <c r="J18" s="15">
        <v>0</v>
      </c>
      <c r="K18" s="15">
        <v>165</v>
      </c>
      <c r="L18" s="15" t="s">
        <v>83</v>
      </c>
      <c r="M18" s="15">
        <v>2.75</v>
      </c>
      <c r="N18" s="15">
        <v>1.75</v>
      </c>
      <c r="O18" s="15" t="s">
        <v>86</v>
      </c>
      <c r="P18" s="15">
        <v>3</v>
      </c>
      <c r="Q18" s="15">
        <v>1</v>
      </c>
      <c r="R18" s="15">
        <v>0</v>
      </c>
      <c r="S18" s="15">
        <v>4</v>
      </c>
      <c r="T18" s="15">
        <v>78</v>
      </c>
      <c r="U18" s="15">
        <v>30</v>
      </c>
      <c r="V18" s="15">
        <v>220</v>
      </c>
      <c r="W18" s="15">
        <v>6</v>
      </c>
    </row>
    <row r="19" spans="1:23" x14ac:dyDescent="0.2">
      <c r="A19" s="15" t="s">
        <v>117</v>
      </c>
      <c r="B19" s="15" t="s">
        <v>136</v>
      </c>
      <c r="C19" s="28">
        <v>51.810867000000002</v>
      </c>
      <c r="D19" s="28">
        <v>-1.3022</v>
      </c>
      <c r="E19" s="15">
        <v>8</v>
      </c>
      <c r="F19" s="15">
        <v>3</v>
      </c>
      <c r="G19" s="15">
        <v>24</v>
      </c>
      <c r="H19">
        <v>3</v>
      </c>
      <c r="I19">
        <v>3</v>
      </c>
      <c r="J19" s="15">
        <v>0</v>
      </c>
      <c r="K19" s="15">
        <v>314</v>
      </c>
      <c r="L19" s="15" t="s">
        <v>103</v>
      </c>
      <c r="M19" s="15">
        <v>4.25</v>
      </c>
      <c r="N19" s="15">
        <v>3.25</v>
      </c>
      <c r="O19" s="15" t="s">
        <v>86</v>
      </c>
      <c r="P19" s="15">
        <v>3</v>
      </c>
      <c r="Q19" s="15">
        <v>1</v>
      </c>
      <c r="R19" s="15">
        <v>2</v>
      </c>
      <c r="S19" s="15">
        <v>6</v>
      </c>
      <c r="T19" s="15">
        <v>90</v>
      </c>
      <c r="U19" s="15">
        <v>56.6</v>
      </c>
      <c r="V19" s="15">
        <v>420</v>
      </c>
      <c r="W19" s="15">
        <v>7</v>
      </c>
    </row>
    <row r="20" spans="1:23" x14ac:dyDescent="0.2">
      <c r="A20" s="15" t="s">
        <v>119</v>
      </c>
      <c r="B20" s="15" t="s">
        <v>136</v>
      </c>
      <c r="C20" s="28">
        <v>51.818550000000002</v>
      </c>
      <c r="D20" s="28">
        <v>-1.2959670000000001</v>
      </c>
      <c r="E20" s="15">
        <v>8</v>
      </c>
      <c r="F20" s="15">
        <v>3</v>
      </c>
      <c r="G20" s="15">
        <v>24</v>
      </c>
      <c r="H20">
        <v>5</v>
      </c>
      <c r="I20">
        <v>1</v>
      </c>
      <c r="J20" s="15">
        <v>0</v>
      </c>
      <c r="K20" s="15">
        <v>211</v>
      </c>
      <c r="L20" s="15" t="s">
        <v>74</v>
      </c>
      <c r="M20" s="15">
        <v>4.25</v>
      </c>
      <c r="N20" s="15">
        <v>3.75</v>
      </c>
      <c r="O20" s="15" t="s">
        <v>115</v>
      </c>
      <c r="P20" s="15">
        <v>4</v>
      </c>
      <c r="Q20" s="15">
        <v>2</v>
      </c>
      <c r="R20" s="15">
        <v>2</v>
      </c>
      <c r="S20" s="15">
        <v>8</v>
      </c>
      <c r="T20" s="15">
        <v>124</v>
      </c>
      <c r="U20" s="15">
        <v>74.599999999999994</v>
      </c>
      <c r="V20" s="15">
        <v>500</v>
      </c>
      <c r="W20" s="15">
        <v>7</v>
      </c>
    </row>
    <row r="21" spans="1:23" x14ac:dyDescent="0.2">
      <c r="A21" s="15" t="s">
        <v>120</v>
      </c>
      <c r="B21" s="15" t="s">
        <v>136</v>
      </c>
      <c r="C21" s="28">
        <v>51.816716999999997</v>
      </c>
      <c r="D21" s="28">
        <v>-1.293917</v>
      </c>
      <c r="E21" s="15">
        <v>8</v>
      </c>
      <c r="F21" s="15">
        <v>2</v>
      </c>
      <c r="G21" s="15">
        <v>16</v>
      </c>
      <c r="H21">
        <v>1</v>
      </c>
      <c r="I21">
        <v>1</v>
      </c>
      <c r="J21" s="15">
        <v>0</v>
      </c>
      <c r="K21" s="15">
        <v>174</v>
      </c>
      <c r="L21" s="15" t="s">
        <v>83</v>
      </c>
      <c r="M21" s="15">
        <v>3.75</v>
      </c>
      <c r="N21" s="15">
        <v>2.25</v>
      </c>
      <c r="O21" s="15" t="s">
        <v>121</v>
      </c>
      <c r="P21" s="15">
        <v>3</v>
      </c>
      <c r="Q21" s="15">
        <v>1</v>
      </c>
      <c r="R21" s="15">
        <v>2</v>
      </c>
      <c r="S21" s="15">
        <v>6</v>
      </c>
      <c r="T21" s="15">
        <v>162</v>
      </c>
      <c r="U21" s="15">
        <v>102.2</v>
      </c>
      <c r="V21" s="15">
        <v>85</v>
      </c>
      <c r="W21" s="15">
        <v>8</v>
      </c>
    </row>
    <row r="22" spans="1:23" x14ac:dyDescent="0.2">
      <c r="A22" s="15" t="s">
        <v>122</v>
      </c>
      <c r="B22" s="15" t="s">
        <v>136</v>
      </c>
      <c r="C22" s="28">
        <v>51.815533000000002</v>
      </c>
      <c r="D22" s="28">
        <v>-1.2947500000000001</v>
      </c>
      <c r="E22" s="15">
        <v>6</v>
      </c>
      <c r="F22" s="15">
        <v>3</v>
      </c>
      <c r="G22" s="15">
        <v>18</v>
      </c>
      <c r="H22">
        <v>0</v>
      </c>
      <c r="I22">
        <v>0</v>
      </c>
      <c r="J22" s="15">
        <v>0</v>
      </c>
      <c r="K22" s="15">
        <v>350</v>
      </c>
      <c r="L22" s="15" t="s">
        <v>97</v>
      </c>
      <c r="M22" s="15">
        <v>3.75</v>
      </c>
      <c r="N22" s="15">
        <v>2.25</v>
      </c>
      <c r="O22" s="15" t="s">
        <v>121</v>
      </c>
      <c r="P22" s="15">
        <v>5</v>
      </c>
      <c r="Q22" s="15">
        <v>1</v>
      </c>
      <c r="R22" s="15">
        <v>1</v>
      </c>
      <c r="S22" s="15">
        <v>7</v>
      </c>
      <c r="T22" s="15">
        <v>104</v>
      </c>
      <c r="U22" s="15">
        <v>52.8</v>
      </c>
      <c r="V22" s="15">
        <v>65</v>
      </c>
      <c r="W22" s="15">
        <v>11</v>
      </c>
    </row>
    <row r="23" spans="1:23" x14ac:dyDescent="0.2">
      <c r="A23" s="15" t="s">
        <v>123</v>
      </c>
      <c r="B23" s="15" t="s">
        <v>136</v>
      </c>
      <c r="C23" s="28">
        <v>51.815832999999998</v>
      </c>
      <c r="D23" s="28">
        <v>-1.29295</v>
      </c>
      <c r="E23" s="15">
        <v>6</v>
      </c>
      <c r="F23" s="15">
        <v>3</v>
      </c>
      <c r="G23" s="15">
        <v>18</v>
      </c>
      <c r="H23">
        <v>4</v>
      </c>
      <c r="I23">
        <v>2</v>
      </c>
      <c r="J23" s="15">
        <v>0</v>
      </c>
      <c r="K23" s="15">
        <v>161</v>
      </c>
      <c r="L23" s="15" t="s">
        <v>124</v>
      </c>
      <c r="M23" s="15">
        <v>2.75</v>
      </c>
      <c r="N23" s="15">
        <v>2.25</v>
      </c>
      <c r="O23" s="15" t="s">
        <v>121</v>
      </c>
      <c r="P23" s="15">
        <v>5</v>
      </c>
      <c r="Q23" s="15">
        <v>2</v>
      </c>
      <c r="R23" s="15">
        <v>1</v>
      </c>
      <c r="S23" s="15">
        <v>8</v>
      </c>
      <c r="T23" s="15">
        <v>128</v>
      </c>
      <c r="U23" s="15">
        <v>72.400000000000006</v>
      </c>
      <c r="V23" s="15">
        <v>115</v>
      </c>
      <c r="W23" s="15">
        <v>11</v>
      </c>
    </row>
    <row r="24" spans="1:23" x14ac:dyDescent="0.2">
      <c r="A24" s="15" t="s">
        <v>125</v>
      </c>
      <c r="B24" s="15" t="s">
        <v>136</v>
      </c>
      <c r="C24" s="28">
        <v>51.815133000000003</v>
      </c>
      <c r="D24" s="28">
        <v>-1.2927</v>
      </c>
      <c r="E24" s="15">
        <v>8</v>
      </c>
      <c r="F24" s="15">
        <v>3</v>
      </c>
      <c r="G24" s="15">
        <v>24</v>
      </c>
      <c r="H24">
        <v>0</v>
      </c>
      <c r="I24">
        <v>0</v>
      </c>
      <c r="J24" s="15">
        <v>0</v>
      </c>
      <c r="K24" s="15">
        <v>287</v>
      </c>
      <c r="L24" s="15" t="s">
        <v>92</v>
      </c>
      <c r="M24" s="15">
        <v>4.75</v>
      </c>
      <c r="N24" s="15">
        <v>3.75</v>
      </c>
      <c r="O24" s="15" t="s">
        <v>121</v>
      </c>
      <c r="P24" s="15">
        <v>5</v>
      </c>
      <c r="Q24" s="15">
        <v>1</v>
      </c>
      <c r="R24" s="15">
        <v>3</v>
      </c>
      <c r="S24" s="15">
        <v>9</v>
      </c>
      <c r="T24" s="15">
        <v>127</v>
      </c>
      <c r="U24" s="15">
        <v>71</v>
      </c>
      <c r="V24" s="15">
        <v>110</v>
      </c>
      <c r="W24" s="15">
        <v>6</v>
      </c>
    </row>
    <row r="25" spans="1:23" x14ac:dyDescent="0.2">
      <c r="A25" s="15" t="s">
        <v>126</v>
      </c>
      <c r="B25" s="15" t="s">
        <v>136</v>
      </c>
      <c r="C25" s="28">
        <v>51.815100000000001</v>
      </c>
      <c r="D25" s="28">
        <v>-1.2924329999999999</v>
      </c>
      <c r="E25" s="15">
        <v>8</v>
      </c>
      <c r="F25" s="15">
        <v>3</v>
      </c>
      <c r="G25" s="15">
        <v>24</v>
      </c>
      <c r="H25">
        <v>11</v>
      </c>
      <c r="I25">
        <v>3</v>
      </c>
      <c r="J25" s="15">
        <v>0</v>
      </c>
      <c r="K25" s="15">
        <v>117</v>
      </c>
      <c r="L25" s="15" t="s">
        <v>80</v>
      </c>
      <c r="M25" s="15">
        <v>4.75</v>
      </c>
      <c r="N25" s="15">
        <v>3.75</v>
      </c>
      <c r="O25" s="15" t="s">
        <v>113</v>
      </c>
      <c r="P25" s="15">
        <v>5</v>
      </c>
      <c r="Q25" s="15">
        <v>1</v>
      </c>
      <c r="R25" s="15">
        <v>2</v>
      </c>
      <c r="S25" s="15">
        <v>8</v>
      </c>
      <c r="T25" s="15">
        <v>106</v>
      </c>
      <c r="U25" s="15">
        <v>44.6</v>
      </c>
      <c r="V25" s="15">
        <v>125</v>
      </c>
      <c r="W25" s="15">
        <v>10</v>
      </c>
    </row>
    <row r="26" spans="1:23" x14ac:dyDescent="0.2">
      <c r="A26" s="15" t="s">
        <v>127</v>
      </c>
      <c r="B26" s="15" t="s">
        <v>136</v>
      </c>
      <c r="C26" s="28">
        <v>51.812600000000003</v>
      </c>
      <c r="D26" s="28">
        <v>-1.293833</v>
      </c>
      <c r="E26" s="15">
        <v>8</v>
      </c>
      <c r="F26" s="15">
        <v>3</v>
      </c>
      <c r="G26" s="15">
        <v>24</v>
      </c>
      <c r="H26">
        <v>1</v>
      </c>
      <c r="I26">
        <v>1</v>
      </c>
      <c r="J26" s="15">
        <v>0</v>
      </c>
      <c r="K26" s="15">
        <v>102</v>
      </c>
      <c r="L26" s="15" t="s">
        <v>88</v>
      </c>
      <c r="M26" s="15">
        <v>3.75</v>
      </c>
      <c r="N26" s="15">
        <v>3.25</v>
      </c>
      <c r="O26" s="15" t="s">
        <v>113</v>
      </c>
      <c r="P26" s="15">
        <v>4</v>
      </c>
      <c r="Q26" s="15">
        <v>2</v>
      </c>
      <c r="R26" s="15">
        <v>2</v>
      </c>
      <c r="S26" s="15">
        <v>8</v>
      </c>
      <c r="T26" s="15">
        <v>62</v>
      </c>
      <c r="U26" s="15">
        <v>24.4</v>
      </c>
      <c r="V26" s="15">
        <v>160</v>
      </c>
      <c r="W26" s="15">
        <v>9</v>
      </c>
    </row>
    <row r="27" spans="1:23" x14ac:dyDescent="0.2">
      <c r="A27" s="15" t="s">
        <v>128</v>
      </c>
      <c r="B27" s="15" t="s">
        <v>136</v>
      </c>
      <c r="C27" s="28">
        <v>51.809583000000003</v>
      </c>
      <c r="D27" s="28">
        <v>-1.2956669999999999</v>
      </c>
      <c r="E27" s="15">
        <v>8</v>
      </c>
      <c r="F27" s="15">
        <v>3</v>
      </c>
      <c r="G27" s="15">
        <v>24</v>
      </c>
      <c r="H27">
        <v>0</v>
      </c>
      <c r="I27">
        <v>0</v>
      </c>
      <c r="J27" s="15">
        <v>0</v>
      </c>
      <c r="K27" s="15">
        <v>98</v>
      </c>
      <c r="L27" s="15" t="s">
        <v>88</v>
      </c>
      <c r="M27" s="15">
        <v>3.25</v>
      </c>
      <c r="N27" s="15">
        <v>3.25</v>
      </c>
      <c r="O27" s="15" t="s">
        <v>113</v>
      </c>
      <c r="P27" s="15">
        <v>3</v>
      </c>
      <c r="Q27" s="15">
        <v>1</v>
      </c>
      <c r="R27" s="15">
        <v>4</v>
      </c>
      <c r="S27" s="15">
        <v>8</v>
      </c>
      <c r="T27" s="15">
        <v>41</v>
      </c>
      <c r="U27" s="15">
        <v>24.4</v>
      </c>
      <c r="V27" s="15">
        <v>125</v>
      </c>
      <c r="W27" s="15">
        <v>11</v>
      </c>
    </row>
    <row r="28" spans="1:23" x14ac:dyDescent="0.2">
      <c r="A28" s="15" t="s">
        <v>129</v>
      </c>
      <c r="B28" s="15" t="s">
        <v>136</v>
      </c>
      <c r="C28" s="28">
        <v>51.807749999999999</v>
      </c>
      <c r="D28" s="28">
        <v>-1.29295</v>
      </c>
      <c r="E28" s="15">
        <v>8</v>
      </c>
      <c r="F28" s="15">
        <v>2</v>
      </c>
      <c r="G28" s="15">
        <v>16</v>
      </c>
      <c r="H28">
        <v>2</v>
      </c>
      <c r="I28">
        <v>1</v>
      </c>
      <c r="J28" s="15">
        <v>0</v>
      </c>
      <c r="K28" s="15">
        <v>285</v>
      </c>
      <c r="L28" s="15" t="s">
        <v>92</v>
      </c>
      <c r="M28" s="15">
        <v>3.25</v>
      </c>
      <c r="N28" s="15">
        <v>3.75</v>
      </c>
      <c r="O28" s="15" t="s">
        <v>113</v>
      </c>
      <c r="P28" s="15">
        <v>6</v>
      </c>
      <c r="Q28" s="15">
        <v>1</v>
      </c>
      <c r="R28" s="15">
        <v>2</v>
      </c>
      <c r="S28" s="15">
        <v>9</v>
      </c>
      <c r="T28" s="15">
        <v>47</v>
      </c>
      <c r="U28" s="15">
        <v>20.2</v>
      </c>
      <c r="V28" s="15">
        <v>80</v>
      </c>
      <c r="W28" s="15">
        <v>8</v>
      </c>
    </row>
    <row r="29" spans="1:23" x14ac:dyDescent="0.2">
      <c r="A29" s="15" t="s">
        <v>130</v>
      </c>
      <c r="B29" s="15" t="s">
        <v>136</v>
      </c>
      <c r="C29" s="28">
        <v>51.808599999999998</v>
      </c>
      <c r="D29" s="28">
        <v>-1.288683</v>
      </c>
      <c r="E29" s="15">
        <v>6</v>
      </c>
      <c r="F29" s="15">
        <v>3</v>
      </c>
      <c r="G29" s="15">
        <v>18</v>
      </c>
      <c r="H29">
        <v>4</v>
      </c>
      <c r="I29">
        <v>4</v>
      </c>
      <c r="J29" s="15">
        <v>0</v>
      </c>
      <c r="K29" s="15">
        <v>274</v>
      </c>
      <c r="L29" s="15" t="s">
        <v>92</v>
      </c>
      <c r="M29" s="15">
        <v>3.25</v>
      </c>
      <c r="N29" s="15">
        <v>3.75</v>
      </c>
      <c r="O29" s="15" t="s">
        <v>113</v>
      </c>
      <c r="P29" s="15">
        <v>4</v>
      </c>
      <c r="Q29" s="15">
        <v>1</v>
      </c>
      <c r="R29" s="15">
        <v>3</v>
      </c>
      <c r="S29" s="15">
        <v>8</v>
      </c>
      <c r="T29" s="15">
        <v>58</v>
      </c>
      <c r="U29" s="15">
        <v>35</v>
      </c>
      <c r="V29" s="15">
        <v>80</v>
      </c>
      <c r="W29" s="15">
        <v>4</v>
      </c>
    </row>
    <row r="30" spans="1:23" x14ac:dyDescent="0.2">
      <c r="A30" s="15" t="s">
        <v>131</v>
      </c>
      <c r="B30" s="15" t="s">
        <v>136</v>
      </c>
      <c r="C30" s="28">
        <v>51.811216999999999</v>
      </c>
      <c r="D30" s="28">
        <v>-1.2882830000000001</v>
      </c>
      <c r="E30" s="15">
        <v>6</v>
      </c>
      <c r="F30" s="15">
        <v>3</v>
      </c>
      <c r="G30" s="15">
        <v>18</v>
      </c>
      <c r="H30">
        <v>4</v>
      </c>
      <c r="I30">
        <v>1</v>
      </c>
      <c r="J30" s="15">
        <v>0</v>
      </c>
      <c r="K30" s="15">
        <v>278</v>
      </c>
      <c r="L30" s="15" t="s">
        <v>92</v>
      </c>
      <c r="M30" s="15">
        <v>2.75</v>
      </c>
      <c r="N30" s="15">
        <v>3.25</v>
      </c>
      <c r="O30" s="15" t="s">
        <v>113</v>
      </c>
      <c r="P30" s="15">
        <v>2</v>
      </c>
      <c r="Q30" s="15">
        <v>2</v>
      </c>
      <c r="R30" s="15">
        <v>1</v>
      </c>
      <c r="S30" s="15">
        <v>5</v>
      </c>
      <c r="T30" s="15">
        <v>62</v>
      </c>
      <c r="U30" s="15">
        <v>41.6</v>
      </c>
      <c r="V30" s="15">
        <v>110</v>
      </c>
      <c r="W30" s="15">
        <v>10</v>
      </c>
    </row>
    <row r="31" spans="1:23" x14ac:dyDescent="0.2">
      <c r="A31" s="15" t="s">
        <v>72</v>
      </c>
      <c r="B31" s="15" t="s">
        <v>137</v>
      </c>
      <c r="C31" s="28">
        <v>51.822099999999999</v>
      </c>
      <c r="D31" s="28">
        <v>-1.2992330000000001</v>
      </c>
      <c r="E31" s="15">
        <v>6</v>
      </c>
      <c r="F31" s="15">
        <v>3</v>
      </c>
      <c r="G31" s="15">
        <v>18</v>
      </c>
      <c r="H31">
        <v>5</v>
      </c>
      <c r="I31">
        <v>3</v>
      </c>
      <c r="J31" s="15">
        <v>0</v>
      </c>
      <c r="K31" s="15">
        <v>225</v>
      </c>
      <c r="L31" s="15" t="s">
        <v>74</v>
      </c>
      <c r="M31" s="15">
        <v>3.25</v>
      </c>
      <c r="N31" s="15">
        <v>2.75</v>
      </c>
      <c r="O31" s="15" t="s">
        <v>77</v>
      </c>
      <c r="P31" s="15">
        <v>5</v>
      </c>
      <c r="Q31" s="15">
        <v>2</v>
      </c>
      <c r="R31" s="15">
        <v>2</v>
      </c>
      <c r="S31" s="15">
        <v>9</v>
      </c>
      <c r="T31" s="15">
        <v>67</v>
      </c>
      <c r="U31" s="15">
        <v>28.8</v>
      </c>
      <c r="V31" s="15">
        <v>340</v>
      </c>
      <c r="W31" s="15">
        <v>8</v>
      </c>
    </row>
    <row r="32" spans="1:23" x14ac:dyDescent="0.2">
      <c r="A32" s="15" t="s">
        <v>78</v>
      </c>
      <c r="B32" s="15" t="s">
        <v>137</v>
      </c>
      <c r="C32" s="28">
        <v>51.822516999999998</v>
      </c>
      <c r="D32" s="28">
        <v>-1.3022499999999999</v>
      </c>
      <c r="E32" s="15">
        <v>8</v>
      </c>
      <c r="F32" s="15">
        <v>3</v>
      </c>
      <c r="G32" s="15">
        <v>24</v>
      </c>
      <c r="H32">
        <v>11</v>
      </c>
      <c r="I32">
        <v>5</v>
      </c>
      <c r="J32" s="15">
        <v>0</v>
      </c>
      <c r="K32" s="15">
        <v>150</v>
      </c>
      <c r="L32" s="15" t="s">
        <v>80</v>
      </c>
      <c r="M32" s="15">
        <v>4.75</v>
      </c>
      <c r="N32" s="15">
        <v>3.25</v>
      </c>
      <c r="O32" s="15" t="s">
        <v>77</v>
      </c>
      <c r="P32" s="15">
        <v>9</v>
      </c>
      <c r="Q32" s="15">
        <v>2</v>
      </c>
      <c r="R32" s="15">
        <v>4</v>
      </c>
      <c r="S32" s="15">
        <v>15</v>
      </c>
      <c r="T32" s="15">
        <v>61</v>
      </c>
      <c r="U32" s="15">
        <v>45.6</v>
      </c>
      <c r="V32" s="15">
        <v>500</v>
      </c>
      <c r="W32" s="15">
        <v>12</v>
      </c>
    </row>
    <row r="33" spans="1:23" x14ac:dyDescent="0.2">
      <c r="A33" s="15" t="s">
        <v>82</v>
      </c>
      <c r="B33" s="15" t="s">
        <v>137</v>
      </c>
      <c r="C33" s="28">
        <v>51.823616999999999</v>
      </c>
      <c r="D33" s="28">
        <v>-1.3056000000000001</v>
      </c>
      <c r="E33" s="15">
        <v>6</v>
      </c>
      <c r="F33" s="15">
        <v>3</v>
      </c>
      <c r="G33" s="15">
        <v>18</v>
      </c>
      <c r="H33">
        <v>4</v>
      </c>
      <c r="I33">
        <v>2</v>
      </c>
      <c r="J33" s="15">
        <v>0</v>
      </c>
      <c r="K33" s="15">
        <v>179</v>
      </c>
      <c r="L33" s="15" t="s">
        <v>83</v>
      </c>
      <c r="M33" s="15">
        <v>1.75</v>
      </c>
      <c r="N33" s="15">
        <v>2.25</v>
      </c>
      <c r="O33" s="15" t="s">
        <v>86</v>
      </c>
      <c r="P33" s="15">
        <v>4</v>
      </c>
      <c r="Q33" s="15">
        <v>1</v>
      </c>
      <c r="R33" s="15">
        <v>2</v>
      </c>
      <c r="S33" s="15">
        <v>7</v>
      </c>
      <c r="T33" s="15">
        <v>63</v>
      </c>
      <c r="U33" s="15">
        <v>30</v>
      </c>
      <c r="V33" s="15">
        <v>80</v>
      </c>
      <c r="W33" s="15">
        <v>4</v>
      </c>
    </row>
    <row r="34" spans="1:23" x14ac:dyDescent="0.2">
      <c r="A34" s="15" t="s">
        <v>87</v>
      </c>
      <c r="B34" s="15" t="s">
        <v>137</v>
      </c>
      <c r="C34" s="28">
        <v>51.822032999999998</v>
      </c>
      <c r="D34" s="28">
        <v>-1.30945</v>
      </c>
      <c r="E34" s="15">
        <v>6</v>
      </c>
      <c r="F34" s="15">
        <v>3</v>
      </c>
      <c r="G34" s="15">
        <v>18</v>
      </c>
      <c r="H34">
        <v>7</v>
      </c>
      <c r="I34">
        <v>2</v>
      </c>
      <c r="J34" s="15">
        <v>0</v>
      </c>
      <c r="K34" s="15">
        <v>88</v>
      </c>
      <c r="L34" s="15" t="s">
        <v>88</v>
      </c>
      <c r="M34" s="15">
        <v>4.75</v>
      </c>
      <c r="N34" s="15">
        <v>3.75</v>
      </c>
      <c r="O34" s="15" t="s">
        <v>86</v>
      </c>
      <c r="P34" s="15">
        <v>5</v>
      </c>
      <c r="Q34" s="15">
        <v>2</v>
      </c>
      <c r="R34" s="15">
        <v>0</v>
      </c>
      <c r="S34" s="15">
        <v>7</v>
      </c>
      <c r="T34" s="15">
        <v>42</v>
      </c>
      <c r="U34" s="15">
        <v>21.6</v>
      </c>
      <c r="V34" s="15">
        <v>230</v>
      </c>
      <c r="W34" s="15">
        <v>4</v>
      </c>
    </row>
    <row r="35" spans="1:23" x14ac:dyDescent="0.2">
      <c r="A35" s="15" t="s">
        <v>90</v>
      </c>
      <c r="B35" s="15" t="s">
        <v>137</v>
      </c>
      <c r="C35" s="28">
        <v>51.820900000000002</v>
      </c>
      <c r="D35" s="28">
        <v>-1.3093669999999999</v>
      </c>
      <c r="E35" s="15">
        <v>2</v>
      </c>
      <c r="F35" s="15">
        <v>2</v>
      </c>
      <c r="G35" s="15">
        <v>4</v>
      </c>
      <c r="H35">
        <v>6</v>
      </c>
      <c r="I35">
        <v>2</v>
      </c>
      <c r="J35" s="15">
        <v>0</v>
      </c>
      <c r="K35" s="15">
        <v>255</v>
      </c>
      <c r="L35" s="15" t="s">
        <v>92</v>
      </c>
      <c r="M35" s="15">
        <v>2.25</v>
      </c>
      <c r="N35" s="15">
        <v>1.75</v>
      </c>
      <c r="O35" s="15" t="s">
        <v>86</v>
      </c>
      <c r="P35" s="15">
        <v>3</v>
      </c>
      <c r="Q35" s="15">
        <v>3</v>
      </c>
      <c r="R35" s="15">
        <v>0</v>
      </c>
      <c r="S35" s="15">
        <v>6</v>
      </c>
      <c r="T35" s="15">
        <v>68</v>
      </c>
      <c r="U35" s="15">
        <v>34.4</v>
      </c>
      <c r="V35" s="15">
        <v>120</v>
      </c>
      <c r="W35" s="15">
        <v>7</v>
      </c>
    </row>
    <row r="36" spans="1:23" x14ac:dyDescent="0.2">
      <c r="A36" s="15" t="s">
        <v>93</v>
      </c>
      <c r="B36" s="15" t="s">
        <v>137</v>
      </c>
      <c r="C36" s="28">
        <v>51.818367000000002</v>
      </c>
      <c r="D36" s="28">
        <v>-1.3125830000000001</v>
      </c>
      <c r="E36" s="15">
        <v>6</v>
      </c>
      <c r="F36" s="15">
        <v>2</v>
      </c>
      <c r="G36" s="15">
        <v>12</v>
      </c>
      <c r="H36">
        <v>7</v>
      </c>
      <c r="I36">
        <v>4</v>
      </c>
      <c r="J36" s="15">
        <v>0</v>
      </c>
      <c r="K36" s="15">
        <v>255</v>
      </c>
      <c r="L36" s="15" t="s">
        <v>92</v>
      </c>
      <c r="M36" s="15">
        <v>3.25</v>
      </c>
      <c r="N36" s="15">
        <v>2.25</v>
      </c>
      <c r="O36" s="15" t="s">
        <v>94</v>
      </c>
      <c r="P36" s="15">
        <v>5</v>
      </c>
      <c r="Q36" s="15">
        <v>2</v>
      </c>
      <c r="R36" s="15">
        <v>2</v>
      </c>
      <c r="S36" s="15">
        <v>9</v>
      </c>
      <c r="T36" s="15">
        <v>52</v>
      </c>
      <c r="U36" s="15">
        <v>28.4</v>
      </c>
      <c r="V36" s="15">
        <v>220</v>
      </c>
      <c r="W36" s="15">
        <v>4</v>
      </c>
    </row>
    <row r="37" spans="1:23" x14ac:dyDescent="0.2">
      <c r="A37" s="15" t="s">
        <v>95</v>
      </c>
      <c r="B37" s="15" t="s">
        <v>137</v>
      </c>
      <c r="C37" s="28">
        <v>51.817667</v>
      </c>
      <c r="D37" s="28">
        <v>-1.314683</v>
      </c>
      <c r="E37" s="15">
        <v>4</v>
      </c>
      <c r="F37" s="15">
        <v>3</v>
      </c>
      <c r="G37" s="15">
        <v>12</v>
      </c>
      <c r="H37">
        <v>2</v>
      </c>
      <c r="I37">
        <v>1</v>
      </c>
      <c r="J37" s="15">
        <v>0</v>
      </c>
      <c r="K37" s="15">
        <v>2</v>
      </c>
      <c r="L37" s="15" t="s">
        <v>97</v>
      </c>
      <c r="M37" s="15">
        <v>1.75</v>
      </c>
      <c r="N37" s="15">
        <v>1.75</v>
      </c>
      <c r="O37" s="15" t="s">
        <v>94</v>
      </c>
      <c r="P37" s="15">
        <v>7</v>
      </c>
      <c r="Q37" s="15">
        <v>1</v>
      </c>
      <c r="R37" s="15">
        <v>0</v>
      </c>
      <c r="S37" s="15">
        <v>8</v>
      </c>
      <c r="T37" s="15">
        <v>53</v>
      </c>
      <c r="U37" s="15">
        <v>24.2</v>
      </c>
      <c r="V37" s="15">
        <v>125</v>
      </c>
      <c r="W37" s="15">
        <v>5</v>
      </c>
    </row>
    <row r="38" spans="1:23" x14ac:dyDescent="0.2">
      <c r="A38" s="15" t="s">
        <v>98</v>
      </c>
      <c r="B38" s="15" t="s">
        <v>137</v>
      </c>
      <c r="C38" s="28">
        <v>51.817332999999998</v>
      </c>
      <c r="D38" s="28">
        <v>-1.3145</v>
      </c>
      <c r="E38" s="15">
        <v>6</v>
      </c>
      <c r="F38" s="15">
        <v>3</v>
      </c>
      <c r="G38" s="15">
        <v>18</v>
      </c>
      <c r="H38">
        <v>43</v>
      </c>
      <c r="I38">
        <v>2</v>
      </c>
      <c r="J38" s="15">
        <v>0</v>
      </c>
      <c r="K38" s="15">
        <v>171</v>
      </c>
      <c r="L38" s="15" t="s">
        <v>83</v>
      </c>
      <c r="M38" s="15">
        <v>4.75</v>
      </c>
      <c r="N38" s="15">
        <v>3.75</v>
      </c>
      <c r="O38" s="15" t="s">
        <v>99</v>
      </c>
      <c r="P38" s="15">
        <v>2</v>
      </c>
      <c r="Q38" s="15">
        <v>1</v>
      </c>
      <c r="R38" s="15">
        <v>2</v>
      </c>
      <c r="S38" s="15">
        <v>5</v>
      </c>
      <c r="T38" s="15">
        <v>72</v>
      </c>
      <c r="U38" s="15">
        <v>44</v>
      </c>
      <c r="V38" s="15">
        <v>200</v>
      </c>
      <c r="W38" s="15">
        <v>8</v>
      </c>
    </row>
    <row r="39" spans="1:23" x14ac:dyDescent="0.2">
      <c r="A39" s="15" t="s">
        <v>105</v>
      </c>
      <c r="B39" s="15" t="s">
        <v>137</v>
      </c>
      <c r="C39" s="28">
        <v>51.817749999999997</v>
      </c>
      <c r="D39" s="28">
        <v>-1.310883</v>
      </c>
      <c r="E39" s="15">
        <v>4</v>
      </c>
      <c r="F39" s="15">
        <v>3</v>
      </c>
      <c r="G39" s="15">
        <v>12</v>
      </c>
      <c r="H39">
        <v>5</v>
      </c>
      <c r="I39">
        <v>2</v>
      </c>
      <c r="J39" s="15">
        <v>0</v>
      </c>
      <c r="K39" s="15">
        <v>0</v>
      </c>
      <c r="L39" s="15" t="s">
        <v>97</v>
      </c>
      <c r="M39" s="15">
        <v>2.25</v>
      </c>
      <c r="N39" s="15">
        <v>1.75</v>
      </c>
      <c r="O39" s="15" t="s">
        <v>94</v>
      </c>
      <c r="P39" s="15">
        <v>6</v>
      </c>
      <c r="Q39" s="15">
        <v>1</v>
      </c>
      <c r="R39" s="15">
        <v>0</v>
      </c>
      <c r="S39" s="15">
        <v>7</v>
      </c>
      <c r="T39" s="15">
        <v>63</v>
      </c>
      <c r="U39" s="15">
        <v>23.2</v>
      </c>
      <c r="V39" s="15">
        <v>90</v>
      </c>
      <c r="W39" s="15">
        <v>4</v>
      </c>
    </row>
    <row r="40" spans="1:23" x14ac:dyDescent="0.2">
      <c r="A40" s="15" t="s">
        <v>106</v>
      </c>
      <c r="B40" s="15" t="s">
        <v>137</v>
      </c>
      <c r="C40" s="28">
        <v>51.816133000000001</v>
      </c>
      <c r="D40" s="28">
        <v>-1.3091330000000001</v>
      </c>
      <c r="E40" s="15">
        <v>4</v>
      </c>
      <c r="F40" s="15">
        <v>3</v>
      </c>
      <c r="G40" s="15">
        <v>12</v>
      </c>
      <c r="H40">
        <v>17</v>
      </c>
      <c r="I40">
        <v>5</v>
      </c>
      <c r="J40" s="15">
        <v>0</v>
      </c>
      <c r="K40" s="15">
        <v>358</v>
      </c>
      <c r="L40" s="15" t="s">
        <v>97</v>
      </c>
      <c r="M40" s="15">
        <v>2.25</v>
      </c>
      <c r="N40" s="15">
        <v>2.25</v>
      </c>
      <c r="O40" s="15" t="s">
        <v>94</v>
      </c>
      <c r="P40" s="15">
        <v>7</v>
      </c>
      <c r="Q40" s="15">
        <v>1</v>
      </c>
      <c r="R40" s="15">
        <v>0</v>
      </c>
      <c r="S40" s="15">
        <v>8</v>
      </c>
      <c r="T40" s="15">
        <v>41</v>
      </c>
      <c r="U40" s="15">
        <v>16.399999999999999</v>
      </c>
      <c r="V40" s="15">
        <v>80</v>
      </c>
      <c r="W40" s="15">
        <v>5</v>
      </c>
    </row>
    <row r="41" spans="1:23" x14ac:dyDescent="0.2">
      <c r="A41" s="15" t="s">
        <v>107</v>
      </c>
      <c r="B41" s="15" t="s">
        <v>137</v>
      </c>
      <c r="C41" s="28">
        <v>51.815100000000001</v>
      </c>
      <c r="D41" s="28">
        <v>-1.307833</v>
      </c>
      <c r="E41" s="15">
        <v>4</v>
      </c>
      <c r="F41" s="15">
        <v>3</v>
      </c>
      <c r="G41" s="15">
        <v>12</v>
      </c>
      <c r="H41">
        <v>2</v>
      </c>
      <c r="I41">
        <v>1</v>
      </c>
      <c r="J41" s="15">
        <v>0</v>
      </c>
      <c r="K41" s="15">
        <v>4</v>
      </c>
      <c r="L41" s="15" t="s">
        <v>97</v>
      </c>
      <c r="M41" s="15">
        <v>1.75</v>
      </c>
      <c r="N41" s="15">
        <v>1.75</v>
      </c>
      <c r="O41" s="15" t="s">
        <v>108</v>
      </c>
      <c r="P41" s="15">
        <v>4</v>
      </c>
      <c r="Q41" s="15">
        <v>2</v>
      </c>
      <c r="R41" s="15">
        <v>0</v>
      </c>
      <c r="S41" s="15">
        <v>6</v>
      </c>
      <c r="T41" s="15">
        <v>79</v>
      </c>
      <c r="U41" s="15">
        <v>35.4</v>
      </c>
      <c r="V41" s="15">
        <v>290</v>
      </c>
      <c r="W41" s="15">
        <v>14</v>
      </c>
    </row>
    <row r="42" spans="1:23" x14ac:dyDescent="0.2">
      <c r="A42" s="15" t="s">
        <v>109</v>
      </c>
      <c r="B42" s="15" t="s">
        <v>137</v>
      </c>
      <c r="C42" s="28">
        <v>51.816766999999999</v>
      </c>
      <c r="D42" s="28">
        <v>-1.3060499999999999</v>
      </c>
      <c r="E42" s="15">
        <v>2</v>
      </c>
      <c r="F42" s="15">
        <v>2</v>
      </c>
      <c r="G42" s="15">
        <v>4</v>
      </c>
      <c r="H42">
        <v>4</v>
      </c>
      <c r="I42">
        <v>2</v>
      </c>
      <c r="J42" s="15">
        <v>0</v>
      </c>
      <c r="K42" s="15">
        <v>268</v>
      </c>
      <c r="L42" s="15" t="s">
        <v>92</v>
      </c>
      <c r="M42" s="15">
        <v>1.25</v>
      </c>
      <c r="N42" s="15">
        <v>1.75</v>
      </c>
      <c r="O42" s="15" t="s">
        <v>99</v>
      </c>
      <c r="P42" s="15">
        <v>2</v>
      </c>
      <c r="Q42" s="15">
        <v>1</v>
      </c>
      <c r="R42" s="15">
        <v>0</v>
      </c>
      <c r="S42" s="15">
        <v>3</v>
      </c>
      <c r="T42" s="15">
        <v>47</v>
      </c>
      <c r="U42" s="15">
        <v>32</v>
      </c>
      <c r="V42" s="15">
        <v>500</v>
      </c>
      <c r="W42" s="15">
        <v>5</v>
      </c>
    </row>
    <row r="43" spans="1:23" x14ac:dyDescent="0.2">
      <c r="A43" s="15" t="s">
        <v>111</v>
      </c>
      <c r="B43" s="15" t="s">
        <v>137</v>
      </c>
      <c r="C43" s="28">
        <v>51.816682999999998</v>
      </c>
      <c r="D43" s="28">
        <v>-1.305917</v>
      </c>
      <c r="E43" s="15">
        <v>2</v>
      </c>
      <c r="F43" s="15">
        <v>2</v>
      </c>
      <c r="G43" s="15">
        <v>4</v>
      </c>
      <c r="H43">
        <v>1</v>
      </c>
      <c r="I43">
        <v>1</v>
      </c>
      <c r="J43" s="15">
        <v>0</v>
      </c>
      <c r="K43" s="15">
        <v>84</v>
      </c>
      <c r="L43" s="15" t="s">
        <v>88</v>
      </c>
      <c r="M43" s="15">
        <v>1.25</v>
      </c>
      <c r="N43" s="15">
        <v>1.25</v>
      </c>
      <c r="O43" s="15" t="s">
        <v>99</v>
      </c>
      <c r="P43" s="15">
        <v>2</v>
      </c>
      <c r="Q43" s="15">
        <v>2</v>
      </c>
      <c r="R43" s="15">
        <v>0</v>
      </c>
      <c r="S43" s="15">
        <v>4</v>
      </c>
      <c r="T43" s="15">
        <v>104</v>
      </c>
      <c r="U43" s="15">
        <v>48</v>
      </c>
      <c r="V43" s="15">
        <v>500</v>
      </c>
      <c r="W43" s="15">
        <v>4</v>
      </c>
    </row>
    <row r="44" spans="1:23" x14ac:dyDescent="0.2">
      <c r="A44" s="15" t="s">
        <v>112</v>
      </c>
      <c r="B44" s="15" t="s">
        <v>137</v>
      </c>
      <c r="C44" s="28">
        <v>51.815632999999998</v>
      </c>
      <c r="D44" s="28">
        <v>-1.2991999999999999</v>
      </c>
      <c r="E44" s="15">
        <v>4</v>
      </c>
      <c r="F44" s="15">
        <v>3</v>
      </c>
      <c r="G44" s="15">
        <v>12</v>
      </c>
      <c r="H44">
        <v>3</v>
      </c>
      <c r="I44">
        <v>2</v>
      </c>
      <c r="J44" s="15">
        <v>0</v>
      </c>
      <c r="K44" s="15">
        <v>179</v>
      </c>
      <c r="L44" s="15" t="s">
        <v>83</v>
      </c>
      <c r="M44" s="15">
        <v>1.75</v>
      </c>
      <c r="N44" s="15">
        <v>2.25</v>
      </c>
      <c r="O44" s="15" t="s">
        <v>113</v>
      </c>
      <c r="P44" s="15">
        <v>4</v>
      </c>
      <c r="Q44" s="15">
        <v>1</v>
      </c>
      <c r="R44" s="15">
        <v>0</v>
      </c>
      <c r="S44" s="15">
        <v>5</v>
      </c>
      <c r="T44" s="15">
        <v>92</v>
      </c>
      <c r="U44" s="15">
        <v>43</v>
      </c>
      <c r="V44" s="15">
        <v>95</v>
      </c>
      <c r="W44" s="15">
        <v>9</v>
      </c>
    </row>
    <row r="45" spans="1:23" x14ac:dyDescent="0.2">
      <c r="A45" s="15" t="s">
        <v>114</v>
      </c>
      <c r="B45" s="15" t="s">
        <v>137</v>
      </c>
      <c r="C45" s="28">
        <v>51.815617000000003</v>
      </c>
      <c r="D45" s="28">
        <v>-1.3024169999999999</v>
      </c>
      <c r="E45" s="15">
        <v>6</v>
      </c>
      <c r="F45" s="15">
        <v>3</v>
      </c>
      <c r="G45" s="15">
        <v>18</v>
      </c>
      <c r="H45">
        <v>22</v>
      </c>
      <c r="I45">
        <v>1</v>
      </c>
      <c r="J45" s="15">
        <v>0</v>
      </c>
      <c r="K45" s="15">
        <v>182</v>
      </c>
      <c r="L45" s="15" t="s">
        <v>83</v>
      </c>
      <c r="M45" s="15">
        <v>2.25</v>
      </c>
      <c r="N45" s="15">
        <v>2.25</v>
      </c>
      <c r="O45" s="15" t="s">
        <v>115</v>
      </c>
      <c r="P45" s="15">
        <v>3</v>
      </c>
      <c r="Q45" s="15">
        <v>1</v>
      </c>
      <c r="R45" s="15">
        <v>2</v>
      </c>
      <c r="S45" s="15">
        <v>6</v>
      </c>
      <c r="T45" s="15">
        <v>82</v>
      </c>
      <c r="U45" s="15">
        <v>26.4</v>
      </c>
      <c r="V45" s="15">
        <v>500</v>
      </c>
      <c r="W45" s="15">
        <v>7</v>
      </c>
    </row>
    <row r="46" spans="1:23" x14ac:dyDescent="0.2">
      <c r="A46" s="15" t="s">
        <v>116</v>
      </c>
      <c r="B46" s="15" t="s">
        <v>137</v>
      </c>
      <c r="C46" s="28">
        <v>51.813732999999999</v>
      </c>
      <c r="D46" s="28">
        <v>-1.3007169999999999</v>
      </c>
      <c r="E46" s="15">
        <v>4</v>
      </c>
      <c r="F46" s="15">
        <v>2</v>
      </c>
      <c r="G46" s="15">
        <v>8</v>
      </c>
      <c r="H46">
        <v>21</v>
      </c>
      <c r="I46">
        <v>3</v>
      </c>
      <c r="J46" s="15">
        <v>0</v>
      </c>
      <c r="K46" s="15">
        <v>165</v>
      </c>
      <c r="L46" s="15" t="s">
        <v>83</v>
      </c>
      <c r="M46" s="15">
        <v>2.75</v>
      </c>
      <c r="N46" s="15">
        <v>1.75</v>
      </c>
      <c r="O46" s="15" t="s">
        <v>86</v>
      </c>
      <c r="P46" s="15">
        <v>3</v>
      </c>
      <c r="Q46" s="15">
        <v>1</v>
      </c>
      <c r="R46" s="15">
        <v>0</v>
      </c>
      <c r="S46" s="15">
        <v>4</v>
      </c>
      <c r="T46" s="15">
        <v>45</v>
      </c>
      <c r="U46" s="15">
        <v>24.6</v>
      </c>
      <c r="V46" s="15">
        <v>200</v>
      </c>
      <c r="W46" s="15">
        <v>5</v>
      </c>
    </row>
    <row r="47" spans="1:23" x14ac:dyDescent="0.2">
      <c r="A47" s="15" t="s">
        <v>117</v>
      </c>
      <c r="B47" s="15" t="s">
        <v>137</v>
      </c>
      <c r="C47" s="28">
        <v>51.810867000000002</v>
      </c>
      <c r="D47" s="28">
        <v>-1.3022</v>
      </c>
      <c r="E47" s="15">
        <v>8</v>
      </c>
      <c r="F47" s="15">
        <v>3</v>
      </c>
      <c r="G47" s="15">
        <v>24</v>
      </c>
      <c r="H47">
        <v>3</v>
      </c>
      <c r="I47">
        <v>3</v>
      </c>
      <c r="J47" s="15">
        <v>0</v>
      </c>
      <c r="K47" s="15">
        <v>314</v>
      </c>
      <c r="L47" s="15" t="s">
        <v>103</v>
      </c>
      <c r="M47" s="15">
        <v>4.25</v>
      </c>
      <c r="N47" s="15">
        <v>3.25</v>
      </c>
      <c r="O47" s="15" t="s">
        <v>86</v>
      </c>
      <c r="P47" s="15">
        <v>3</v>
      </c>
      <c r="Q47" s="15">
        <v>1</v>
      </c>
      <c r="R47" s="15">
        <v>2</v>
      </c>
      <c r="S47" s="15">
        <v>6</v>
      </c>
      <c r="T47" s="15">
        <v>113</v>
      </c>
      <c r="U47" s="15">
        <v>68.400000000000006</v>
      </c>
      <c r="V47" s="15">
        <v>390</v>
      </c>
      <c r="W47" s="15">
        <v>5</v>
      </c>
    </row>
    <row r="48" spans="1:23" x14ac:dyDescent="0.2">
      <c r="A48" s="15" t="s">
        <v>120</v>
      </c>
      <c r="B48" s="15" t="s">
        <v>137</v>
      </c>
      <c r="C48" s="28">
        <v>51.816716999999997</v>
      </c>
      <c r="D48" s="28">
        <v>-1.293917</v>
      </c>
      <c r="E48" s="15">
        <v>8</v>
      </c>
      <c r="F48" s="15">
        <v>2</v>
      </c>
      <c r="G48" s="15">
        <v>16</v>
      </c>
      <c r="H48">
        <v>1</v>
      </c>
      <c r="I48">
        <v>1</v>
      </c>
      <c r="J48" s="15">
        <v>0</v>
      </c>
      <c r="K48" s="15">
        <v>174</v>
      </c>
      <c r="L48" s="15" t="s">
        <v>83</v>
      </c>
      <c r="M48" s="15">
        <v>3.75</v>
      </c>
      <c r="N48" s="15">
        <v>2.25</v>
      </c>
      <c r="O48" s="15" t="s">
        <v>121</v>
      </c>
      <c r="P48" s="15">
        <v>3</v>
      </c>
      <c r="Q48" s="15">
        <v>1</v>
      </c>
      <c r="R48" s="15">
        <v>2</v>
      </c>
      <c r="S48" s="15">
        <v>6</v>
      </c>
      <c r="T48" s="15">
        <v>167</v>
      </c>
      <c r="U48" s="15">
        <v>104.8</v>
      </c>
      <c r="V48" s="15">
        <v>60</v>
      </c>
      <c r="W48" s="15">
        <v>7</v>
      </c>
    </row>
    <row r="49" spans="1:23" x14ac:dyDescent="0.2">
      <c r="A49" s="15" t="s">
        <v>122</v>
      </c>
      <c r="B49" s="15" t="s">
        <v>137</v>
      </c>
      <c r="C49" s="28">
        <v>51.815533000000002</v>
      </c>
      <c r="D49" s="28">
        <v>-1.2947500000000001</v>
      </c>
      <c r="E49" s="15">
        <v>6</v>
      </c>
      <c r="F49" s="15">
        <v>3</v>
      </c>
      <c r="G49" s="15">
        <v>18</v>
      </c>
      <c r="H49">
        <v>4</v>
      </c>
      <c r="I49">
        <v>1</v>
      </c>
      <c r="J49" s="15">
        <v>0</v>
      </c>
      <c r="K49" s="15">
        <v>350</v>
      </c>
      <c r="L49" s="15" t="s">
        <v>97</v>
      </c>
      <c r="M49" s="15">
        <v>3.75</v>
      </c>
      <c r="N49" s="15">
        <v>2.25</v>
      </c>
      <c r="O49" s="15" t="s">
        <v>121</v>
      </c>
      <c r="P49" s="15">
        <v>5</v>
      </c>
      <c r="Q49" s="15">
        <v>1</v>
      </c>
      <c r="R49" s="15">
        <v>1</v>
      </c>
      <c r="S49" s="15">
        <v>7</v>
      </c>
      <c r="T49" s="15">
        <v>67</v>
      </c>
      <c r="U49" s="15">
        <v>41.4</v>
      </c>
      <c r="V49" s="15">
        <v>65</v>
      </c>
      <c r="W49" s="15">
        <v>9</v>
      </c>
    </row>
    <row r="50" spans="1:23" x14ac:dyDescent="0.2">
      <c r="A50" s="15" t="s">
        <v>123</v>
      </c>
      <c r="B50" s="15" t="s">
        <v>137</v>
      </c>
      <c r="C50" s="28">
        <v>51.815832999999998</v>
      </c>
      <c r="D50" s="28">
        <v>-1.29295</v>
      </c>
      <c r="E50" s="15">
        <v>6</v>
      </c>
      <c r="F50" s="15">
        <v>3</v>
      </c>
      <c r="G50" s="15">
        <v>18</v>
      </c>
      <c r="H50">
        <v>2</v>
      </c>
      <c r="I50">
        <v>1</v>
      </c>
      <c r="J50" s="15">
        <v>0</v>
      </c>
      <c r="K50" s="15">
        <v>161</v>
      </c>
      <c r="L50" s="15" t="s">
        <v>124</v>
      </c>
      <c r="M50" s="15">
        <v>2.75</v>
      </c>
      <c r="N50" s="15">
        <v>2.25</v>
      </c>
      <c r="O50" s="15" t="s">
        <v>121</v>
      </c>
      <c r="P50" s="15">
        <v>5</v>
      </c>
      <c r="Q50" s="15">
        <v>2</v>
      </c>
      <c r="R50" s="15">
        <v>1</v>
      </c>
      <c r="S50" s="15">
        <v>8</v>
      </c>
      <c r="T50" s="15">
        <v>127</v>
      </c>
      <c r="U50" s="15">
        <v>44.8</v>
      </c>
      <c r="V50" s="15">
        <v>110</v>
      </c>
      <c r="W50" s="15">
        <v>9</v>
      </c>
    </row>
    <row r="51" spans="1:23" x14ac:dyDescent="0.2">
      <c r="A51" s="15" t="s">
        <v>125</v>
      </c>
      <c r="B51" s="15" t="s">
        <v>137</v>
      </c>
      <c r="C51" s="28">
        <v>51.815133000000003</v>
      </c>
      <c r="D51" s="28">
        <v>-1.2927</v>
      </c>
      <c r="E51" s="15">
        <v>8</v>
      </c>
      <c r="F51" s="15">
        <v>3</v>
      </c>
      <c r="G51" s="15">
        <v>24</v>
      </c>
      <c r="H51">
        <v>3</v>
      </c>
      <c r="I51">
        <v>1</v>
      </c>
      <c r="J51" s="15">
        <v>0</v>
      </c>
      <c r="K51" s="15">
        <v>287</v>
      </c>
      <c r="L51" s="15" t="s">
        <v>92</v>
      </c>
      <c r="M51" s="15">
        <v>4.75</v>
      </c>
      <c r="N51" s="15">
        <v>3.75</v>
      </c>
      <c r="O51" s="15" t="s">
        <v>121</v>
      </c>
      <c r="P51" s="15">
        <v>5</v>
      </c>
      <c r="Q51" s="15">
        <v>1</v>
      </c>
      <c r="R51" s="15">
        <v>3</v>
      </c>
      <c r="S51" s="15">
        <v>9</v>
      </c>
      <c r="T51" s="15">
        <v>76</v>
      </c>
      <c r="U51" s="15">
        <v>42.2</v>
      </c>
      <c r="V51" s="15">
        <v>110</v>
      </c>
      <c r="W51" s="15">
        <v>3</v>
      </c>
    </row>
    <row r="52" spans="1:23" x14ac:dyDescent="0.2">
      <c r="A52" s="15" t="s">
        <v>126</v>
      </c>
      <c r="B52" s="15" t="s">
        <v>137</v>
      </c>
      <c r="C52" s="28">
        <v>51.815100000000001</v>
      </c>
      <c r="D52" s="28">
        <v>-1.2924329999999999</v>
      </c>
      <c r="E52" s="15">
        <v>8</v>
      </c>
      <c r="F52" s="15">
        <v>3</v>
      </c>
      <c r="G52" s="15">
        <v>24</v>
      </c>
      <c r="H52">
        <v>12</v>
      </c>
      <c r="I52">
        <v>5</v>
      </c>
      <c r="J52" s="15">
        <v>0</v>
      </c>
      <c r="K52" s="15">
        <v>117</v>
      </c>
      <c r="L52" s="15" t="s">
        <v>80</v>
      </c>
      <c r="M52" s="15">
        <v>4.75</v>
      </c>
      <c r="N52" s="15">
        <v>3.75</v>
      </c>
      <c r="O52" s="15" t="s">
        <v>113</v>
      </c>
      <c r="P52" s="15">
        <v>5</v>
      </c>
      <c r="Q52" s="15">
        <v>1</v>
      </c>
      <c r="R52" s="15">
        <v>2</v>
      </c>
      <c r="S52" s="15">
        <v>8</v>
      </c>
      <c r="T52" s="15">
        <v>36</v>
      </c>
      <c r="U52" s="15">
        <v>15</v>
      </c>
      <c r="V52" s="15">
        <v>105</v>
      </c>
      <c r="W52" s="15">
        <v>8</v>
      </c>
    </row>
    <row r="53" spans="1:23" x14ac:dyDescent="0.2">
      <c r="A53" s="15" t="s">
        <v>127</v>
      </c>
      <c r="B53" s="15" t="s">
        <v>137</v>
      </c>
      <c r="C53" s="28">
        <v>51.812600000000003</v>
      </c>
      <c r="D53" s="28">
        <v>-1.293833</v>
      </c>
      <c r="E53" s="15">
        <v>8</v>
      </c>
      <c r="F53" s="15">
        <v>3</v>
      </c>
      <c r="G53" s="15">
        <v>24</v>
      </c>
      <c r="H53">
        <v>7</v>
      </c>
      <c r="I53">
        <v>2</v>
      </c>
      <c r="J53" s="15">
        <v>0</v>
      </c>
      <c r="K53" s="15">
        <v>102</v>
      </c>
      <c r="L53" s="15" t="s">
        <v>88</v>
      </c>
      <c r="M53" s="15">
        <v>3.75</v>
      </c>
      <c r="N53" s="15">
        <v>3.25</v>
      </c>
      <c r="O53" s="15" t="s">
        <v>113</v>
      </c>
      <c r="P53" s="15">
        <v>4</v>
      </c>
      <c r="Q53" s="15">
        <v>2</v>
      </c>
      <c r="R53" s="15">
        <v>2</v>
      </c>
      <c r="S53" s="15">
        <v>8</v>
      </c>
      <c r="T53" s="15">
        <v>58</v>
      </c>
      <c r="U53" s="15">
        <v>18.2</v>
      </c>
      <c r="V53" s="15">
        <v>125</v>
      </c>
      <c r="W53" s="15">
        <v>7</v>
      </c>
    </row>
    <row r="54" spans="1:23" x14ac:dyDescent="0.2">
      <c r="A54" s="15" t="s">
        <v>128</v>
      </c>
      <c r="B54" s="15" t="s">
        <v>137</v>
      </c>
      <c r="C54" s="28">
        <v>51.809583000000003</v>
      </c>
      <c r="D54" s="28">
        <v>-1.2956669999999999</v>
      </c>
      <c r="E54" s="15">
        <v>8</v>
      </c>
      <c r="F54" s="15">
        <v>3</v>
      </c>
      <c r="G54" s="15">
        <v>24</v>
      </c>
      <c r="H54">
        <v>12</v>
      </c>
      <c r="I54">
        <v>4</v>
      </c>
      <c r="J54" s="15">
        <v>0</v>
      </c>
      <c r="K54" s="15">
        <v>98</v>
      </c>
      <c r="L54" s="15" t="s">
        <v>88</v>
      </c>
      <c r="M54" s="15">
        <v>3.25</v>
      </c>
      <c r="N54" s="15">
        <v>3.25</v>
      </c>
      <c r="O54" s="15" t="s">
        <v>113</v>
      </c>
      <c r="P54" s="15">
        <v>3</v>
      </c>
      <c r="Q54" s="15">
        <v>1</v>
      </c>
      <c r="R54" s="15">
        <v>4</v>
      </c>
      <c r="S54" s="15">
        <v>8</v>
      </c>
      <c r="T54" s="15">
        <v>43</v>
      </c>
      <c r="U54" s="15">
        <v>20.399999999999999</v>
      </c>
      <c r="V54" s="15">
        <v>100</v>
      </c>
      <c r="W54" s="15">
        <v>9</v>
      </c>
    </row>
    <row r="55" spans="1:23" x14ac:dyDescent="0.2">
      <c r="A55" s="15" t="s">
        <v>129</v>
      </c>
      <c r="B55" s="15" t="s">
        <v>137</v>
      </c>
      <c r="C55" s="28">
        <v>51.807749999999999</v>
      </c>
      <c r="D55" s="28">
        <v>-1.29295</v>
      </c>
      <c r="E55" s="15">
        <v>8</v>
      </c>
      <c r="F55" s="15">
        <v>2</v>
      </c>
      <c r="G55" s="15">
        <v>16</v>
      </c>
      <c r="H55">
        <v>4</v>
      </c>
      <c r="I55">
        <v>2</v>
      </c>
      <c r="J55" s="15">
        <v>0</v>
      </c>
      <c r="K55" s="15">
        <v>285</v>
      </c>
      <c r="L55" s="15" t="s">
        <v>92</v>
      </c>
      <c r="M55" s="15">
        <v>3.25</v>
      </c>
      <c r="N55" s="15">
        <v>3.75</v>
      </c>
      <c r="O55" s="15" t="s">
        <v>113</v>
      </c>
      <c r="P55" s="15">
        <v>6</v>
      </c>
      <c r="Q55" s="15">
        <v>1</v>
      </c>
      <c r="R55" s="15">
        <v>2</v>
      </c>
      <c r="S55" s="15">
        <v>9</v>
      </c>
      <c r="T55" s="15">
        <v>49</v>
      </c>
      <c r="U55" s="15">
        <v>21.8</v>
      </c>
      <c r="V55" s="15">
        <v>50</v>
      </c>
      <c r="W55" s="15">
        <v>6</v>
      </c>
    </row>
    <row r="56" spans="1:23" x14ac:dyDescent="0.2">
      <c r="A56" s="15" t="s">
        <v>130</v>
      </c>
      <c r="B56" s="15" t="s">
        <v>137</v>
      </c>
      <c r="C56" s="28">
        <v>51.808599999999998</v>
      </c>
      <c r="D56" s="28">
        <v>-1.288683</v>
      </c>
      <c r="E56" s="15">
        <v>6</v>
      </c>
      <c r="F56" s="15">
        <v>3</v>
      </c>
      <c r="G56" s="15">
        <v>18</v>
      </c>
      <c r="H56">
        <v>6</v>
      </c>
      <c r="I56">
        <v>4</v>
      </c>
      <c r="J56" s="15">
        <v>0</v>
      </c>
      <c r="K56" s="15">
        <v>274</v>
      </c>
      <c r="L56" s="15" t="s">
        <v>92</v>
      </c>
      <c r="M56" s="15">
        <v>3.25</v>
      </c>
      <c r="N56" s="15">
        <v>3.75</v>
      </c>
      <c r="O56" s="15" t="s">
        <v>113</v>
      </c>
      <c r="P56" s="15">
        <v>4</v>
      </c>
      <c r="Q56" s="15">
        <v>1</v>
      </c>
      <c r="R56" s="15">
        <v>3</v>
      </c>
      <c r="S56" s="15">
        <v>8</v>
      </c>
      <c r="T56" s="15">
        <v>55</v>
      </c>
      <c r="U56" s="15">
        <v>29.2</v>
      </c>
      <c r="V56" s="15">
        <v>70</v>
      </c>
      <c r="W56" s="15">
        <v>6</v>
      </c>
    </row>
    <row r="57" spans="1:23" x14ac:dyDescent="0.2">
      <c r="A57" s="15" t="s">
        <v>131</v>
      </c>
      <c r="B57" s="15" t="s">
        <v>137</v>
      </c>
      <c r="C57" s="28">
        <v>51.811216999999999</v>
      </c>
      <c r="D57" s="28">
        <v>-1.2882830000000001</v>
      </c>
      <c r="E57" s="15">
        <v>6</v>
      </c>
      <c r="F57" s="15">
        <v>3</v>
      </c>
      <c r="G57" s="15">
        <v>18</v>
      </c>
      <c r="H57">
        <v>2</v>
      </c>
      <c r="I57">
        <v>1</v>
      </c>
      <c r="J57" s="15">
        <v>0</v>
      </c>
      <c r="K57" s="15">
        <v>278</v>
      </c>
      <c r="L57" s="15" t="s">
        <v>92</v>
      </c>
      <c r="M57" s="15">
        <v>2.75</v>
      </c>
      <c r="N57" s="15">
        <v>3.25</v>
      </c>
      <c r="O57" s="15" t="s">
        <v>113</v>
      </c>
      <c r="P57" s="15">
        <v>2</v>
      </c>
      <c r="Q57" s="15">
        <v>2</v>
      </c>
      <c r="R57" s="15">
        <v>1</v>
      </c>
      <c r="S57" s="15">
        <v>5</v>
      </c>
      <c r="T57" s="15">
        <v>53</v>
      </c>
      <c r="U57" s="15">
        <v>27.6</v>
      </c>
      <c r="V57" s="15">
        <v>105</v>
      </c>
      <c r="W57" s="15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CA35-CC28-594B-B9F3-7F66135490B3}">
  <dimension ref="A1:I61"/>
  <sheetViews>
    <sheetView tabSelected="1" workbookViewId="0">
      <selection activeCell="I56" sqref="I56"/>
    </sheetView>
  </sheetViews>
  <sheetFormatPr baseColWidth="10" defaultRowHeight="16" x14ac:dyDescent="0.2"/>
  <sheetData>
    <row r="1" spans="1:9" x14ac:dyDescent="0.2">
      <c r="A1" s="20" t="s">
        <v>0</v>
      </c>
      <c r="B1" s="20" t="s">
        <v>3</v>
      </c>
      <c r="C1" s="20" t="s">
        <v>518</v>
      </c>
      <c r="D1" s="20" t="s">
        <v>519</v>
      </c>
      <c r="E1" s="20" t="s">
        <v>289</v>
      </c>
      <c r="F1" s="20" t="s">
        <v>290</v>
      </c>
      <c r="G1" s="20" t="s">
        <v>520</v>
      </c>
      <c r="H1" s="20" t="s">
        <v>14</v>
      </c>
      <c r="I1" s="20" t="s">
        <v>521</v>
      </c>
    </row>
    <row r="2" spans="1:9" x14ac:dyDescent="0.2">
      <c r="A2" s="15" t="s">
        <v>72</v>
      </c>
      <c r="B2" s="15" t="s">
        <v>522</v>
      </c>
      <c r="C2" s="15">
        <v>2</v>
      </c>
      <c r="D2" s="15" t="s">
        <v>523</v>
      </c>
      <c r="E2" s="15">
        <v>91</v>
      </c>
      <c r="F2" s="15">
        <v>42</v>
      </c>
      <c r="G2" s="15" t="s">
        <v>524</v>
      </c>
      <c r="H2" s="15" t="s">
        <v>77</v>
      </c>
      <c r="I2" s="15">
        <v>320</v>
      </c>
    </row>
    <row r="3" spans="1:9" x14ac:dyDescent="0.2">
      <c r="A3" s="15" t="s">
        <v>78</v>
      </c>
      <c r="B3" s="15" t="s">
        <v>522</v>
      </c>
      <c r="C3" s="15">
        <v>1</v>
      </c>
      <c r="D3" s="15">
        <v>2</v>
      </c>
      <c r="E3" s="15">
        <v>72</v>
      </c>
      <c r="F3" s="15">
        <v>27.6</v>
      </c>
      <c r="G3" s="15" t="s">
        <v>525</v>
      </c>
      <c r="H3" s="15" t="s">
        <v>77</v>
      </c>
      <c r="I3" s="15">
        <v>500</v>
      </c>
    </row>
    <row r="4" spans="1:9" x14ac:dyDescent="0.2">
      <c r="A4" s="15" t="s">
        <v>82</v>
      </c>
      <c r="B4" s="15" t="s">
        <v>522</v>
      </c>
      <c r="C4" s="15">
        <v>1</v>
      </c>
      <c r="D4" s="15">
        <v>2</v>
      </c>
      <c r="E4" s="15">
        <v>52</v>
      </c>
      <c r="F4" s="15">
        <v>34.200000000000003</v>
      </c>
      <c r="G4" s="15" t="s">
        <v>526</v>
      </c>
      <c r="H4" s="15" t="s">
        <v>86</v>
      </c>
      <c r="I4" s="15">
        <v>100</v>
      </c>
    </row>
    <row r="5" spans="1:9" x14ac:dyDescent="0.2">
      <c r="A5" s="15" t="s">
        <v>87</v>
      </c>
      <c r="B5" s="15" t="s">
        <v>522</v>
      </c>
      <c r="C5" s="15">
        <v>2</v>
      </c>
      <c r="D5" s="15">
        <v>1</v>
      </c>
      <c r="E5" s="15">
        <v>55</v>
      </c>
      <c r="F5" s="15">
        <v>20.399999999999999</v>
      </c>
      <c r="G5" s="15" t="s">
        <v>527</v>
      </c>
      <c r="H5" s="15" t="s">
        <v>86</v>
      </c>
      <c r="I5" s="15">
        <v>225</v>
      </c>
    </row>
    <row r="6" spans="1:9" x14ac:dyDescent="0.2">
      <c r="A6" s="15" t="s">
        <v>90</v>
      </c>
      <c r="B6" s="15" t="s">
        <v>522</v>
      </c>
      <c r="C6" s="15">
        <v>2</v>
      </c>
      <c r="D6" s="15">
        <v>2</v>
      </c>
      <c r="E6" s="15">
        <v>91</v>
      </c>
      <c r="F6" s="15">
        <v>32.4</v>
      </c>
      <c r="G6" s="15" t="s">
        <v>528</v>
      </c>
      <c r="H6" s="15" t="s">
        <v>86</v>
      </c>
      <c r="I6" s="15">
        <v>130</v>
      </c>
    </row>
    <row r="7" spans="1:9" x14ac:dyDescent="0.2">
      <c r="A7" s="15" t="s">
        <v>93</v>
      </c>
      <c r="B7" s="15" t="s">
        <v>522</v>
      </c>
      <c r="C7" s="15">
        <v>2</v>
      </c>
      <c r="D7" s="15">
        <v>2</v>
      </c>
      <c r="E7" s="15">
        <v>69</v>
      </c>
      <c r="F7" s="15">
        <v>12.6</v>
      </c>
      <c r="G7" s="15" t="s">
        <v>529</v>
      </c>
      <c r="H7" s="15" t="s">
        <v>94</v>
      </c>
      <c r="I7" s="15">
        <v>225</v>
      </c>
    </row>
    <row r="8" spans="1:9" x14ac:dyDescent="0.2">
      <c r="A8" s="15" t="s">
        <v>95</v>
      </c>
      <c r="B8" s="15" t="s">
        <v>522</v>
      </c>
      <c r="C8" s="15">
        <v>1</v>
      </c>
      <c r="D8" s="15">
        <v>2</v>
      </c>
      <c r="E8" s="15">
        <v>86</v>
      </c>
      <c r="F8" s="15">
        <v>20.2</v>
      </c>
      <c r="G8" s="15" t="s">
        <v>530</v>
      </c>
      <c r="H8" s="15" t="s">
        <v>94</v>
      </c>
      <c r="I8" s="15">
        <v>145</v>
      </c>
    </row>
    <row r="9" spans="1:9" x14ac:dyDescent="0.2">
      <c r="A9" s="15" t="s">
        <v>98</v>
      </c>
      <c r="B9" s="15" t="s">
        <v>522</v>
      </c>
      <c r="C9" s="15">
        <v>2</v>
      </c>
      <c r="D9" s="15">
        <v>2</v>
      </c>
      <c r="E9" s="15">
        <v>121</v>
      </c>
      <c r="F9" s="15">
        <v>44</v>
      </c>
      <c r="G9" s="15" t="s">
        <v>531</v>
      </c>
      <c r="H9" s="15" t="s">
        <v>532</v>
      </c>
      <c r="I9" s="15">
        <v>195</v>
      </c>
    </row>
    <row r="10" spans="1:9" x14ac:dyDescent="0.2">
      <c r="A10" s="15" t="s">
        <v>100</v>
      </c>
      <c r="B10" s="15" t="s">
        <v>522</v>
      </c>
      <c r="C10" s="15">
        <v>1</v>
      </c>
      <c r="D10" s="15">
        <v>1</v>
      </c>
      <c r="E10" s="15">
        <v>136</v>
      </c>
      <c r="F10" s="15">
        <v>61.2</v>
      </c>
      <c r="G10" s="15" t="s">
        <v>533</v>
      </c>
      <c r="H10" s="15" t="s">
        <v>94</v>
      </c>
      <c r="I10" s="15">
        <v>160</v>
      </c>
    </row>
    <row r="11" spans="1:9" x14ac:dyDescent="0.2">
      <c r="A11" s="15" t="s">
        <v>101</v>
      </c>
      <c r="B11" s="15" t="s">
        <v>522</v>
      </c>
      <c r="C11" s="15">
        <v>1</v>
      </c>
      <c r="D11" s="15">
        <v>1</v>
      </c>
      <c r="E11" s="15">
        <v>103</v>
      </c>
      <c r="F11" s="15">
        <v>40.799999999999997</v>
      </c>
      <c r="G11" s="15" t="s">
        <v>534</v>
      </c>
      <c r="H11" s="15" t="s">
        <v>94</v>
      </c>
      <c r="I11" s="15">
        <v>145</v>
      </c>
    </row>
    <row r="12" spans="1:9" x14ac:dyDescent="0.2">
      <c r="A12" s="15" t="s">
        <v>105</v>
      </c>
      <c r="B12" s="15" t="s">
        <v>522</v>
      </c>
      <c r="C12" s="15">
        <v>2</v>
      </c>
      <c r="D12" s="15">
        <v>3</v>
      </c>
      <c r="E12" s="15">
        <v>56</v>
      </c>
      <c r="F12" s="15">
        <v>17.399999999999999</v>
      </c>
      <c r="G12" s="15" t="s">
        <v>535</v>
      </c>
      <c r="H12" s="15" t="s">
        <v>94</v>
      </c>
      <c r="I12" s="15">
        <v>75</v>
      </c>
    </row>
    <row r="13" spans="1:9" x14ac:dyDescent="0.2">
      <c r="A13" s="15" t="s">
        <v>106</v>
      </c>
      <c r="B13" s="15" t="s">
        <v>522</v>
      </c>
      <c r="C13" s="15">
        <v>2</v>
      </c>
      <c r="D13" s="15">
        <v>2</v>
      </c>
      <c r="E13" s="15">
        <v>42</v>
      </c>
      <c r="F13" s="15">
        <v>18.600000000000001</v>
      </c>
      <c r="G13" s="15" t="s">
        <v>536</v>
      </c>
      <c r="H13" s="15" t="s">
        <v>94</v>
      </c>
      <c r="I13" s="15">
        <v>90</v>
      </c>
    </row>
    <row r="14" spans="1:9" x14ac:dyDescent="0.2">
      <c r="A14" s="15" t="s">
        <v>107</v>
      </c>
      <c r="B14" s="15" t="s">
        <v>522</v>
      </c>
      <c r="C14" s="15">
        <v>1</v>
      </c>
      <c r="D14" s="15">
        <v>2</v>
      </c>
      <c r="E14" s="15">
        <v>83</v>
      </c>
      <c r="F14" s="15">
        <v>41.6</v>
      </c>
      <c r="G14" s="15" t="s">
        <v>537</v>
      </c>
      <c r="H14" s="15" t="s">
        <v>108</v>
      </c>
      <c r="I14" s="15">
        <v>310</v>
      </c>
    </row>
    <row r="15" spans="1:9" x14ac:dyDescent="0.2">
      <c r="A15" s="15" t="s">
        <v>109</v>
      </c>
      <c r="B15" s="15" t="s">
        <v>522</v>
      </c>
      <c r="C15" s="15">
        <v>2</v>
      </c>
      <c r="D15" s="15" t="s">
        <v>412</v>
      </c>
      <c r="E15" s="15">
        <v>68</v>
      </c>
      <c r="F15" s="15">
        <v>58.8</v>
      </c>
      <c r="G15" s="15" t="s">
        <v>538</v>
      </c>
      <c r="H15" s="15" t="s">
        <v>99</v>
      </c>
      <c r="I15" s="15">
        <v>500</v>
      </c>
    </row>
    <row r="16" spans="1:9" x14ac:dyDescent="0.2">
      <c r="A16" s="15" t="s">
        <v>111</v>
      </c>
      <c r="B16" s="15" t="s">
        <v>522</v>
      </c>
      <c r="C16" s="15">
        <v>1</v>
      </c>
      <c r="D16" s="15">
        <v>2</v>
      </c>
      <c r="E16" s="15">
        <v>117</v>
      </c>
      <c r="F16" s="15">
        <v>56.8</v>
      </c>
      <c r="G16" s="15" t="s">
        <v>539</v>
      </c>
      <c r="H16" s="15" t="s">
        <v>99</v>
      </c>
      <c r="I16" s="15">
        <v>500</v>
      </c>
    </row>
    <row r="17" spans="1:9" x14ac:dyDescent="0.2">
      <c r="A17" s="15" t="s">
        <v>112</v>
      </c>
      <c r="B17" s="15" t="s">
        <v>522</v>
      </c>
      <c r="C17" s="15">
        <v>2</v>
      </c>
      <c r="D17" s="15">
        <v>2</v>
      </c>
      <c r="E17" s="15">
        <v>142</v>
      </c>
      <c r="F17" s="15">
        <v>53.4</v>
      </c>
      <c r="G17" s="15" t="s">
        <v>540</v>
      </c>
      <c r="H17" s="15" t="s">
        <v>113</v>
      </c>
      <c r="I17" s="15">
        <v>95</v>
      </c>
    </row>
    <row r="18" spans="1:9" x14ac:dyDescent="0.2">
      <c r="A18" s="15" t="s">
        <v>114</v>
      </c>
      <c r="B18" s="15" t="s">
        <v>522</v>
      </c>
      <c r="C18" s="15">
        <v>3</v>
      </c>
      <c r="D18" s="15">
        <v>1</v>
      </c>
      <c r="E18" s="15">
        <v>117</v>
      </c>
      <c r="F18" s="15">
        <v>52</v>
      </c>
      <c r="G18" s="15" t="s">
        <v>541</v>
      </c>
      <c r="H18" s="15" t="s">
        <v>115</v>
      </c>
      <c r="I18" s="15">
        <v>500</v>
      </c>
    </row>
    <row r="19" spans="1:9" x14ac:dyDescent="0.2">
      <c r="A19" s="15" t="s">
        <v>116</v>
      </c>
      <c r="B19" s="15" t="s">
        <v>522</v>
      </c>
      <c r="C19" s="15">
        <v>2</v>
      </c>
      <c r="D19" s="15">
        <v>2</v>
      </c>
      <c r="E19" s="15">
        <v>78</v>
      </c>
      <c r="F19" s="15">
        <v>30</v>
      </c>
      <c r="G19" s="15" t="s">
        <v>542</v>
      </c>
      <c r="H19" s="15" t="s">
        <v>86</v>
      </c>
      <c r="I19" s="15">
        <v>220</v>
      </c>
    </row>
    <row r="20" spans="1:9" x14ac:dyDescent="0.2">
      <c r="A20" s="15" t="s">
        <v>117</v>
      </c>
      <c r="B20" s="15" t="s">
        <v>522</v>
      </c>
      <c r="C20" s="15">
        <v>2</v>
      </c>
      <c r="D20" s="15">
        <v>1</v>
      </c>
      <c r="E20" s="15">
        <v>90</v>
      </c>
      <c r="F20" s="15">
        <v>56.6</v>
      </c>
      <c r="G20" s="15" t="s">
        <v>543</v>
      </c>
      <c r="H20" s="15" t="s">
        <v>86</v>
      </c>
      <c r="I20" s="15">
        <v>420</v>
      </c>
    </row>
    <row r="21" spans="1:9" x14ac:dyDescent="0.2">
      <c r="A21" s="15" t="s">
        <v>119</v>
      </c>
      <c r="B21" s="15" t="s">
        <v>522</v>
      </c>
      <c r="C21" s="15">
        <v>1</v>
      </c>
      <c r="D21" s="15">
        <v>1</v>
      </c>
      <c r="E21" s="15">
        <v>124</v>
      </c>
      <c r="F21" s="15">
        <v>74.599999999999994</v>
      </c>
      <c r="G21" s="15" t="s">
        <v>544</v>
      </c>
      <c r="H21" s="15" t="s">
        <v>115</v>
      </c>
      <c r="I21" s="15">
        <v>500</v>
      </c>
    </row>
    <row r="22" spans="1:9" x14ac:dyDescent="0.2">
      <c r="A22" s="15" t="s">
        <v>120</v>
      </c>
      <c r="B22" s="15" t="s">
        <v>522</v>
      </c>
      <c r="C22" s="15">
        <v>1</v>
      </c>
      <c r="D22" s="15" t="s">
        <v>412</v>
      </c>
      <c r="E22" s="15">
        <v>162</v>
      </c>
      <c r="F22" s="15">
        <v>102.2</v>
      </c>
      <c r="G22" s="15" t="s">
        <v>545</v>
      </c>
      <c r="H22" s="15" t="s">
        <v>121</v>
      </c>
      <c r="I22" s="15">
        <v>85</v>
      </c>
    </row>
    <row r="23" spans="1:9" x14ac:dyDescent="0.2">
      <c r="A23" s="15" t="s">
        <v>122</v>
      </c>
      <c r="B23" s="15" t="s">
        <v>522</v>
      </c>
      <c r="C23" s="15">
        <v>1</v>
      </c>
      <c r="D23" s="15" t="s">
        <v>412</v>
      </c>
      <c r="E23" s="15">
        <v>104</v>
      </c>
      <c r="F23" s="15">
        <v>52.8</v>
      </c>
      <c r="G23" s="15" t="s">
        <v>546</v>
      </c>
      <c r="H23" s="15" t="s">
        <v>121</v>
      </c>
      <c r="I23" s="15">
        <v>65</v>
      </c>
    </row>
    <row r="24" spans="1:9" x14ac:dyDescent="0.2">
      <c r="A24" s="15" t="s">
        <v>123</v>
      </c>
      <c r="B24" s="15" t="s">
        <v>522</v>
      </c>
      <c r="C24" s="15">
        <v>1</v>
      </c>
      <c r="D24" s="15">
        <v>1</v>
      </c>
      <c r="E24" s="15">
        <v>128</v>
      </c>
      <c r="F24" s="15">
        <v>72.400000000000006</v>
      </c>
      <c r="G24" s="15" t="s">
        <v>547</v>
      </c>
      <c r="H24" s="15" t="s">
        <v>121</v>
      </c>
      <c r="I24" s="15">
        <v>115</v>
      </c>
    </row>
    <row r="25" spans="1:9" x14ac:dyDescent="0.2">
      <c r="A25" s="15" t="s">
        <v>125</v>
      </c>
      <c r="B25" s="15" t="s">
        <v>522</v>
      </c>
      <c r="C25" s="15">
        <v>1</v>
      </c>
      <c r="D25" s="15">
        <v>1</v>
      </c>
      <c r="E25" s="15">
        <v>127</v>
      </c>
      <c r="F25" s="15">
        <v>71</v>
      </c>
      <c r="G25" s="15" t="s">
        <v>548</v>
      </c>
      <c r="H25" s="15" t="s">
        <v>121</v>
      </c>
      <c r="I25" s="15">
        <v>110</v>
      </c>
    </row>
    <row r="26" spans="1:9" x14ac:dyDescent="0.2">
      <c r="A26" s="15" t="s">
        <v>126</v>
      </c>
      <c r="B26" s="15" t="s">
        <v>522</v>
      </c>
      <c r="C26" s="15">
        <v>2</v>
      </c>
      <c r="D26" s="15">
        <v>2</v>
      </c>
      <c r="E26" s="15">
        <v>106</v>
      </c>
      <c r="F26" s="15">
        <v>44.6</v>
      </c>
      <c r="G26" s="15" t="s">
        <v>549</v>
      </c>
      <c r="H26" s="15" t="s">
        <v>113</v>
      </c>
      <c r="I26" s="15">
        <v>125</v>
      </c>
    </row>
    <row r="27" spans="1:9" x14ac:dyDescent="0.2">
      <c r="A27" s="15" t="s">
        <v>127</v>
      </c>
      <c r="B27" s="15" t="s">
        <v>522</v>
      </c>
      <c r="C27" s="15">
        <v>1</v>
      </c>
      <c r="D27" s="15">
        <v>3</v>
      </c>
      <c r="E27" s="15">
        <v>62</v>
      </c>
      <c r="F27" s="15">
        <v>24.4</v>
      </c>
      <c r="G27" s="15" t="s">
        <v>550</v>
      </c>
      <c r="H27" s="15" t="s">
        <v>113</v>
      </c>
      <c r="I27" s="15">
        <v>160</v>
      </c>
    </row>
    <row r="28" spans="1:9" x14ac:dyDescent="0.2">
      <c r="A28" s="15" t="s">
        <v>128</v>
      </c>
      <c r="B28" s="15" t="s">
        <v>522</v>
      </c>
      <c r="C28" s="15">
        <v>2</v>
      </c>
      <c r="D28" s="15">
        <v>3</v>
      </c>
      <c r="E28" s="15">
        <v>41</v>
      </c>
      <c r="F28" s="15">
        <v>24.4</v>
      </c>
      <c r="G28" s="15" t="s">
        <v>551</v>
      </c>
      <c r="H28" s="15" t="s">
        <v>552</v>
      </c>
      <c r="I28" s="15">
        <v>125</v>
      </c>
    </row>
    <row r="29" spans="1:9" x14ac:dyDescent="0.2">
      <c r="A29" s="15" t="s">
        <v>129</v>
      </c>
      <c r="B29" s="15" t="s">
        <v>522</v>
      </c>
      <c r="C29" s="15">
        <v>2</v>
      </c>
      <c r="D29" s="15">
        <v>3</v>
      </c>
      <c r="E29" s="15">
        <v>47</v>
      </c>
      <c r="F29" s="15">
        <v>20.2</v>
      </c>
      <c r="G29" s="15" t="s">
        <v>553</v>
      </c>
      <c r="H29" s="15" t="s">
        <v>113</v>
      </c>
      <c r="I29" s="15">
        <v>80</v>
      </c>
    </row>
    <row r="30" spans="1:9" x14ac:dyDescent="0.2">
      <c r="A30" s="15" t="s">
        <v>130</v>
      </c>
      <c r="B30" s="15" t="s">
        <v>522</v>
      </c>
      <c r="C30" s="15">
        <v>2</v>
      </c>
      <c r="D30" s="15">
        <v>3</v>
      </c>
      <c r="E30" s="15">
        <v>58</v>
      </c>
      <c r="F30" s="15">
        <v>35</v>
      </c>
      <c r="G30" s="15" t="s">
        <v>554</v>
      </c>
      <c r="H30" s="15" t="s">
        <v>113</v>
      </c>
      <c r="I30" s="15">
        <v>80</v>
      </c>
    </row>
    <row r="31" spans="1:9" x14ac:dyDescent="0.2">
      <c r="A31" s="15" t="s">
        <v>131</v>
      </c>
      <c r="B31" s="15" t="s">
        <v>522</v>
      </c>
      <c r="C31" s="15">
        <v>2</v>
      </c>
      <c r="D31" s="15">
        <v>2</v>
      </c>
      <c r="E31" s="15">
        <v>62</v>
      </c>
      <c r="F31" s="15">
        <v>41.6</v>
      </c>
      <c r="G31" s="15" t="s">
        <v>555</v>
      </c>
      <c r="H31" s="15" t="s">
        <v>113</v>
      </c>
      <c r="I31" s="15">
        <v>110</v>
      </c>
    </row>
    <row r="32" spans="1:9" x14ac:dyDescent="0.2">
      <c r="A32" s="15" t="s">
        <v>72</v>
      </c>
      <c r="B32" s="15" t="s">
        <v>133</v>
      </c>
      <c r="C32" s="15">
        <v>2</v>
      </c>
      <c r="D32" s="15">
        <v>0</v>
      </c>
      <c r="E32" s="15">
        <v>67</v>
      </c>
      <c r="F32" s="15">
        <v>28.8</v>
      </c>
      <c r="G32" s="15" t="s">
        <v>556</v>
      </c>
      <c r="H32" s="15" t="s">
        <v>557</v>
      </c>
      <c r="I32" s="15">
        <v>340</v>
      </c>
    </row>
    <row r="33" spans="1:9" x14ac:dyDescent="0.2">
      <c r="A33" s="15" t="s">
        <v>78</v>
      </c>
      <c r="B33" s="15" t="s">
        <v>133</v>
      </c>
      <c r="C33" s="15">
        <v>2</v>
      </c>
      <c r="D33" s="15">
        <v>2</v>
      </c>
      <c r="E33" s="15">
        <v>61</v>
      </c>
      <c r="F33" s="15">
        <v>45.6</v>
      </c>
      <c r="G33" s="15" t="s">
        <v>558</v>
      </c>
      <c r="H33" s="15" t="s">
        <v>557</v>
      </c>
      <c r="I33" s="15">
        <v>500</v>
      </c>
    </row>
    <row r="34" spans="1:9" x14ac:dyDescent="0.2">
      <c r="A34" s="15" t="s">
        <v>82</v>
      </c>
      <c r="B34" s="15" t="s">
        <v>133</v>
      </c>
      <c r="C34" s="15">
        <v>1</v>
      </c>
      <c r="D34" s="15">
        <v>2</v>
      </c>
      <c r="E34" s="15">
        <v>63</v>
      </c>
      <c r="F34" s="15">
        <v>30</v>
      </c>
      <c r="G34" s="15" t="s">
        <v>559</v>
      </c>
      <c r="H34" s="15" t="s">
        <v>560</v>
      </c>
      <c r="I34" s="15">
        <v>80</v>
      </c>
    </row>
    <row r="35" spans="1:9" x14ac:dyDescent="0.2">
      <c r="A35" s="15" t="s">
        <v>87</v>
      </c>
      <c r="B35" s="15" t="s">
        <v>133</v>
      </c>
      <c r="C35" s="15">
        <v>2</v>
      </c>
      <c r="D35" s="15">
        <v>1</v>
      </c>
      <c r="E35" s="15">
        <v>42</v>
      </c>
      <c r="F35" s="15">
        <v>21.6</v>
      </c>
      <c r="G35" s="15" t="s">
        <v>561</v>
      </c>
      <c r="H35" s="15" t="s">
        <v>562</v>
      </c>
      <c r="I35" s="15">
        <v>230</v>
      </c>
    </row>
    <row r="36" spans="1:9" x14ac:dyDescent="0.2">
      <c r="A36" s="15" t="s">
        <v>90</v>
      </c>
      <c r="B36" s="15" t="s">
        <v>133</v>
      </c>
      <c r="C36" s="15">
        <v>1</v>
      </c>
      <c r="D36" s="15">
        <v>2</v>
      </c>
      <c r="E36" s="15">
        <v>68</v>
      </c>
      <c r="F36" s="15">
        <v>34.4</v>
      </c>
      <c r="G36" s="15" t="s">
        <v>563</v>
      </c>
      <c r="H36" s="15" t="s">
        <v>564</v>
      </c>
      <c r="I36" s="15">
        <v>120</v>
      </c>
    </row>
    <row r="37" spans="1:9" x14ac:dyDescent="0.2">
      <c r="A37" s="15" t="s">
        <v>93</v>
      </c>
      <c r="B37" s="15" t="s">
        <v>133</v>
      </c>
      <c r="C37" s="15">
        <v>1</v>
      </c>
      <c r="D37" s="15">
        <v>1</v>
      </c>
      <c r="E37" s="15">
        <v>52</v>
      </c>
      <c r="F37" s="15">
        <v>28.4</v>
      </c>
      <c r="G37" s="15" t="s">
        <v>565</v>
      </c>
      <c r="H37" s="15" t="s">
        <v>564</v>
      </c>
      <c r="I37" s="15">
        <v>220</v>
      </c>
    </row>
    <row r="38" spans="1:9" x14ac:dyDescent="0.2">
      <c r="A38" s="15" t="s">
        <v>95</v>
      </c>
      <c r="B38" s="15" t="s">
        <v>133</v>
      </c>
      <c r="C38" s="15">
        <v>1</v>
      </c>
      <c r="D38" s="15">
        <v>1</v>
      </c>
      <c r="E38" s="15">
        <v>53</v>
      </c>
      <c r="F38" s="15">
        <v>24.2</v>
      </c>
      <c r="G38" s="15" t="s">
        <v>566</v>
      </c>
      <c r="H38" s="15" t="s">
        <v>564</v>
      </c>
      <c r="I38" s="15">
        <v>125</v>
      </c>
    </row>
    <row r="39" spans="1:9" x14ac:dyDescent="0.2">
      <c r="A39" s="15" t="s">
        <v>98</v>
      </c>
      <c r="B39" s="15" t="s">
        <v>133</v>
      </c>
      <c r="C39" s="15">
        <v>2</v>
      </c>
      <c r="D39" s="15">
        <v>2</v>
      </c>
      <c r="E39" s="15">
        <v>72</v>
      </c>
      <c r="F39" s="15">
        <v>44</v>
      </c>
      <c r="G39" s="15" t="s">
        <v>567</v>
      </c>
      <c r="H39" s="15" t="s">
        <v>564</v>
      </c>
      <c r="I39" s="15">
        <v>200</v>
      </c>
    </row>
    <row r="40" spans="1:9" x14ac:dyDescent="0.2">
      <c r="A40" s="15" t="s">
        <v>100</v>
      </c>
      <c r="B40" s="15" t="s">
        <v>133</v>
      </c>
      <c r="C40" s="15">
        <v>1</v>
      </c>
      <c r="D40" s="15">
        <v>1</v>
      </c>
      <c r="E40" s="15">
        <v>112</v>
      </c>
      <c r="F40" s="15">
        <v>29.8</v>
      </c>
      <c r="G40" s="15" t="s">
        <v>568</v>
      </c>
      <c r="H40" s="15" t="s">
        <v>564</v>
      </c>
      <c r="I40" s="15">
        <v>115</v>
      </c>
    </row>
    <row r="41" spans="1:9" x14ac:dyDescent="0.2">
      <c r="A41" s="15" t="s">
        <v>101</v>
      </c>
      <c r="B41" s="15" t="s">
        <v>133</v>
      </c>
      <c r="C41" s="15">
        <v>2</v>
      </c>
      <c r="D41" s="15">
        <v>2</v>
      </c>
      <c r="E41" s="15">
        <v>107</v>
      </c>
      <c r="F41" s="15">
        <v>34.799999999999997</v>
      </c>
      <c r="G41" s="15" t="s">
        <v>569</v>
      </c>
      <c r="H41" s="15" t="s">
        <v>564</v>
      </c>
      <c r="I41" s="15">
        <v>140</v>
      </c>
    </row>
    <row r="42" spans="1:9" x14ac:dyDescent="0.2">
      <c r="A42" s="15" t="s">
        <v>105</v>
      </c>
      <c r="B42" s="15" t="s">
        <v>133</v>
      </c>
      <c r="C42" s="15">
        <v>3</v>
      </c>
      <c r="D42" s="15">
        <v>2</v>
      </c>
      <c r="E42" s="15">
        <v>63</v>
      </c>
      <c r="F42" s="15">
        <v>23.2</v>
      </c>
      <c r="G42" s="15" t="s">
        <v>570</v>
      </c>
      <c r="H42" s="15" t="s">
        <v>564</v>
      </c>
      <c r="I42" s="15">
        <v>90</v>
      </c>
    </row>
    <row r="43" spans="1:9" x14ac:dyDescent="0.2">
      <c r="A43" s="15" t="s">
        <v>106</v>
      </c>
      <c r="B43" s="15" t="s">
        <v>133</v>
      </c>
      <c r="C43" s="15">
        <v>2</v>
      </c>
      <c r="D43" s="15">
        <v>2</v>
      </c>
      <c r="E43" s="15">
        <v>41</v>
      </c>
      <c r="F43" s="15">
        <v>16.399999999999999</v>
      </c>
      <c r="G43" s="15" t="s">
        <v>571</v>
      </c>
      <c r="H43" s="15" t="s">
        <v>564</v>
      </c>
      <c r="I43" s="15">
        <v>80</v>
      </c>
    </row>
    <row r="44" spans="1:9" x14ac:dyDescent="0.2">
      <c r="A44" s="15" t="s">
        <v>107</v>
      </c>
      <c r="B44" s="15" t="s">
        <v>133</v>
      </c>
      <c r="C44" s="15">
        <v>1</v>
      </c>
      <c r="D44" s="15">
        <v>2</v>
      </c>
      <c r="E44" s="15">
        <v>79</v>
      </c>
      <c r="F44" s="15">
        <v>35.4</v>
      </c>
      <c r="G44" s="15" t="s">
        <v>572</v>
      </c>
      <c r="H44" s="15" t="s">
        <v>573</v>
      </c>
      <c r="I44" s="15">
        <v>290</v>
      </c>
    </row>
    <row r="45" spans="1:9" x14ac:dyDescent="0.2">
      <c r="A45" s="15" t="s">
        <v>109</v>
      </c>
      <c r="B45" s="15" t="s">
        <v>133</v>
      </c>
      <c r="C45" s="15">
        <v>2</v>
      </c>
      <c r="D45" s="15">
        <v>0</v>
      </c>
      <c r="E45" s="15">
        <v>47</v>
      </c>
      <c r="F45" s="15">
        <v>32</v>
      </c>
      <c r="G45" s="15" t="s">
        <v>574</v>
      </c>
      <c r="H45" s="15" t="s">
        <v>575</v>
      </c>
      <c r="I45" s="15">
        <v>500</v>
      </c>
    </row>
    <row r="46" spans="1:9" x14ac:dyDescent="0.2">
      <c r="A46" s="15" t="s">
        <v>111</v>
      </c>
      <c r="B46" s="15" t="s">
        <v>133</v>
      </c>
      <c r="C46" s="15">
        <v>1</v>
      </c>
      <c r="D46" s="15">
        <v>1</v>
      </c>
      <c r="E46" s="15">
        <v>104</v>
      </c>
      <c r="F46" s="15">
        <v>48</v>
      </c>
      <c r="G46" s="15" t="s">
        <v>576</v>
      </c>
      <c r="H46" s="15" t="s">
        <v>575</v>
      </c>
      <c r="I46" s="15">
        <v>500</v>
      </c>
    </row>
    <row r="47" spans="1:9" x14ac:dyDescent="0.2">
      <c r="A47" s="15" t="s">
        <v>112</v>
      </c>
      <c r="B47" s="15" t="s">
        <v>133</v>
      </c>
      <c r="C47" s="15">
        <v>1</v>
      </c>
      <c r="D47" s="15">
        <v>2</v>
      </c>
      <c r="E47" s="15">
        <v>92</v>
      </c>
      <c r="F47" s="15">
        <v>43</v>
      </c>
      <c r="G47" s="15" t="s">
        <v>577</v>
      </c>
      <c r="H47" s="15" t="s">
        <v>113</v>
      </c>
      <c r="I47" s="15">
        <v>95</v>
      </c>
    </row>
    <row r="48" spans="1:9" x14ac:dyDescent="0.2">
      <c r="A48" s="15" t="s">
        <v>114</v>
      </c>
      <c r="B48" s="15" t="s">
        <v>133</v>
      </c>
      <c r="C48" s="15">
        <v>3</v>
      </c>
      <c r="D48" s="15">
        <v>1</v>
      </c>
      <c r="E48" s="15">
        <v>82</v>
      </c>
      <c r="F48" s="15">
        <v>26.4</v>
      </c>
      <c r="G48" s="15" t="s">
        <v>578</v>
      </c>
      <c r="H48" s="15" t="s">
        <v>115</v>
      </c>
      <c r="I48" s="15">
        <v>500</v>
      </c>
    </row>
    <row r="49" spans="1:9" x14ac:dyDescent="0.2">
      <c r="A49" s="15" t="s">
        <v>116</v>
      </c>
      <c r="B49" s="15" t="s">
        <v>133</v>
      </c>
      <c r="C49" s="15">
        <v>2</v>
      </c>
      <c r="D49" s="15">
        <v>2</v>
      </c>
      <c r="E49" s="15">
        <v>45</v>
      </c>
      <c r="F49" s="15">
        <v>24.6</v>
      </c>
      <c r="G49" s="15" t="s">
        <v>579</v>
      </c>
      <c r="H49" s="15" t="s">
        <v>560</v>
      </c>
      <c r="I49" s="15">
        <v>200</v>
      </c>
    </row>
    <row r="50" spans="1:9" x14ac:dyDescent="0.2">
      <c r="A50" s="15" t="s">
        <v>117</v>
      </c>
      <c r="B50" s="15" t="s">
        <v>133</v>
      </c>
      <c r="C50" s="15">
        <v>2</v>
      </c>
      <c r="D50" s="15">
        <v>2</v>
      </c>
      <c r="E50" s="15">
        <v>113</v>
      </c>
      <c r="F50" s="15">
        <v>68.400000000000006</v>
      </c>
      <c r="G50" s="15" t="s">
        <v>580</v>
      </c>
      <c r="H50" s="15" t="s">
        <v>560</v>
      </c>
      <c r="I50" s="15">
        <v>390</v>
      </c>
    </row>
    <row r="51" spans="1:9" x14ac:dyDescent="0.2">
      <c r="A51" s="15" t="s">
        <v>119</v>
      </c>
      <c r="B51" s="15" t="s">
        <v>133</v>
      </c>
      <c r="C51" s="15" t="s">
        <v>412</v>
      </c>
      <c r="D51" s="15" t="s">
        <v>412</v>
      </c>
      <c r="E51" s="15">
        <v>89</v>
      </c>
      <c r="F51" s="15">
        <v>48.6</v>
      </c>
      <c r="G51" s="15" t="s">
        <v>581</v>
      </c>
      <c r="H51" s="15" t="s">
        <v>582</v>
      </c>
      <c r="I51" s="15">
        <v>130</v>
      </c>
    </row>
    <row r="52" spans="1:9" x14ac:dyDescent="0.2">
      <c r="A52" s="15" t="s">
        <v>120</v>
      </c>
      <c r="B52" s="15" t="s">
        <v>133</v>
      </c>
      <c r="C52" s="15" t="s">
        <v>412</v>
      </c>
      <c r="D52" s="15">
        <v>1</v>
      </c>
      <c r="E52" s="15">
        <v>167</v>
      </c>
      <c r="F52" s="15">
        <v>104.8</v>
      </c>
      <c r="G52" s="15" t="s">
        <v>583</v>
      </c>
      <c r="H52" s="15" t="s">
        <v>582</v>
      </c>
      <c r="I52" s="15">
        <v>60</v>
      </c>
    </row>
    <row r="53" spans="1:9" x14ac:dyDescent="0.2">
      <c r="A53" s="15" t="s">
        <v>122</v>
      </c>
      <c r="B53" s="15" t="s">
        <v>133</v>
      </c>
      <c r="C53" s="15">
        <v>1</v>
      </c>
      <c r="D53" s="15" t="s">
        <v>412</v>
      </c>
      <c r="E53" s="15">
        <v>67</v>
      </c>
      <c r="F53" s="15">
        <v>41.4</v>
      </c>
      <c r="G53" s="15" t="s">
        <v>584</v>
      </c>
      <c r="H53" s="15" t="s">
        <v>582</v>
      </c>
      <c r="I53" s="15">
        <v>65</v>
      </c>
    </row>
    <row r="54" spans="1:9" x14ac:dyDescent="0.2">
      <c r="A54" s="15" t="s">
        <v>123</v>
      </c>
      <c r="B54" s="15" t="s">
        <v>133</v>
      </c>
      <c r="C54" s="15">
        <v>1</v>
      </c>
      <c r="D54" s="15">
        <v>1</v>
      </c>
      <c r="E54" s="15">
        <v>127</v>
      </c>
      <c r="F54" s="15">
        <v>44.8</v>
      </c>
      <c r="G54" s="15" t="s">
        <v>585</v>
      </c>
      <c r="H54" s="15" t="s">
        <v>582</v>
      </c>
      <c r="I54" s="15">
        <v>110</v>
      </c>
    </row>
    <row r="55" spans="1:9" x14ac:dyDescent="0.2">
      <c r="A55" s="15" t="s">
        <v>125</v>
      </c>
      <c r="B55" s="15" t="s">
        <v>133</v>
      </c>
      <c r="C55" s="15">
        <v>1</v>
      </c>
      <c r="D55" s="15">
        <v>1</v>
      </c>
      <c r="E55" s="15">
        <v>76</v>
      </c>
      <c r="F55" s="15">
        <v>42.2</v>
      </c>
      <c r="G55" s="15" t="s">
        <v>586</v>
      </c>
      <c r="H55" s="15" t="s">
        <v>582</v>
      </c>
      <c r="I55" s="15">
        <v>110</v>
      </c>
    </row>
    <row r="56" spans="1:9" x14ac:dyDescent="0.2">
      <c r="A56" s="15" t="s">
        <v>126</v>
      </c>
      <c r="B56" s="15" t="s">
        <v>133</v>
      </c>
      <c r="C56" s="15">
        <v>2</v>
      </c>
      <c r="D56" s="15">
        <v>3</v>
      </c>
      <c r="E56" s="15">
        <v>36</v>
      </c>
      <c r="F56" s="15">
        <v>15</v>
      </c>
      <c r="G56" s="15" t="s">
        <v>587</v>
      </c>
      <c r="H56" s="15" t="s">
        <v>588</v>
      </c>
      <c r="I56" s="15">
        <v>105</v>
      </c>
    </row>
    <row r="57" spans="1:9" x14ac:dyDescent="0.2">
      <c r="A57" s="15" t="s">
        <v>127</v>
      </c>
      <c r="B57" s="15" t="s">
        <v>133</v>
      </c>
      <c r="C57" s="15">
        <v>2</v>
      </c>
      <c r="D57" s="15">
        <v>3</v>
      </c>
      <c r="E57" s="15">
        <v>58</v>
      </c>
      <c r="F57" s="15">
        <v>18.2</v>
      </c>
      <c r="G57" s="15" t="s">
        <v>589</v>
      </c>
      <c r="H57" s="15" t="s">
        <v>588</v>
      </c>
      <c r="I57" s="15">
        <v>125</v>
      </c>
    </row>
    <row r="58" spans="1:9" x14ac:dyDescent="0.2">
      <c r="A58" s="15" t="s">
        <v>128</v>
      </c>
      <c r="B58" s="15" t="s">
        <v>133</v>
      </c>
      <c r="C58" s="15">
        <v>2</v>
      </c>
      <c r="D58" s="15">
        <v>3</v>
      </c>
      <c r="E58" s="15">
        <v>43</v>
      </c>
      <c r="F58" s="15">
        <v>20.399999999999999</v>
      </c>
      <c r="G58" s="15" t="s">
        <v>590</v>
      </c>
      <c r="H58" s="15" t="s">
        <v>588</v>
      </c>
      <c r="I58" s="15">
        <v>100</v>
      </c>
    </row>
    <row r="59" spans="1:9" x14ac:dyDescent="0.2">
      <c r="A59" s="15" t="s">
        <v>129</v>
      </c>
      <c r="B59" s="15" t="s">
        <v>133</v>
      </c>
      <c r="C59" s="15">
        <v>3</v>
      </c>
      <c r="D59" s="15">
        <v>3</v>
      </c>
      <c r="E59" s="15">
        <v>49</v>
      </c>
      <c r="F59" s="15">
        <v>21.8</v>
      </c>
      <c r="G59" s="15" t="s">
        <v>591</v>
      </c>
      <c r="H59" s="15" t="s">
        <v>113</v>
      </c>
      <c r="I59" s="15">
        <v>50</v>
      </c>
    </row>
    <row r="60" spans="1:9" x14ac:dyDescent="0.2">
      <c r="A60" s="15" t="s">
        <v>130</v>
      </c>
      <c r="B60" s="15" t="s">
        <v>133</v>
      </c>
      <c r="C60" s="15">
        <v>2</v>
      </c>
      <c r="D60" s="15">
        <v>3</v>
      </c>
      <c r="E60" s="15">
        <v>55</v>
      </c>
      <c r="F60" s="15">
        <v>29.2</v>
      </c>
      <c r="G60" s="15" t="s">
        <v>592</v>
      </c>
      <c r="H60" s="15" t="s">
        <v>113</v>
      </c>
      <c r="I60" s="15">
        <v>70</v>
      </c>
    </row>
    <row r="61" spans="1:9" x14ac:dyDescent="0.2">
      <c r="A61" s="15" t="s">
        <v>131</v>
      </c>
      <c r="B61" s="15" t="s">
        <v>133</v>
      </c>
      <c r="C61" s="15">
        <v>2</v>
      </c>
      <c r="D61" s="15">
        <v>3</v>
      </c>
      <c r="E61" s="15">
        <v>53</v>
      </c>
      <c r="F61" s="15">
        <v>27.6</v>
      </c>
      <c r="G61" s="15" t="s">
        <v>593</v>
      </c>
      <c r="H61" s="15" t="s">
        <v>113</v>
      </c>
      <c r="I61" s="15">
        <v>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EFD6-242B-D84A-8153-B089CF4FACE5}">
  <dimension ref="A1:G445"/>
  <sheetViews>
    <sheetView workbookViewId="0">
      <selection activeCell="I9" sqref="I9"/>
    </sheetView>
  </sheetViews>
  <sheetFormatPr baseColWidth="10" defaultRowHeight="16" x14ac:dyDescent="0.2"/>
  <sheetData>
    <row r="1" spans="1:7" x14ac:dyDescent="0.2">
      <c r="A1" s="20" t="s">
        <v>378</v>
      </c>
      <c r="B1" s="20" t="s">
        <v>3</v>
      </c>
      <c r="C1" s="20" t="s">
        <v>379</v>
      </c>
      <c r="D1" s="20" t="s">
        <v>380</v>
      </c>
      <c r="E1" s="20" t="s">
        <v>381</v>
      </c>
      <c r="F1" s="35"/>
      <c r="G1" s="15"/>
    </row>
    <row r="2" spans="1:7" x14ac:dyDescent="0.2">
      <c r="A2" s="15" t="s">
        <v>72</v>
      </c>
      <c r="B2" s="15" t="s">
        <v>132</v>
      </c>
      <c r="C2" s="15" t="s">
        <v>382</v>
      </c>
      <c r="D2" s="15" t="s">
        <v>383</v>
      </c>
      <c r="E2" s="15">
        <v>2</v>
      </c>
      <c r="F2" s="15"/>
      <c r="G2" s="15"/>
    </row>
    <row r="3" spans="1:7" x14ac:dyDescent="0.2">
      <c r="A3" s="15" t="s">
        <v>72</v>
      </c>
      <c r="B3" s="15" t="s">
        <v>132</v>
      </c>
      <c r="C3" s="15" t="s">
        <v>384</v>
      </c>
      <c r="D3" s="15" t="s">
        <v>385</v>
      </c>
      <c r="E3" s="15">
        <v>1</v>
      </c>
      <c r="F3" s="15"/>
      <c r="G3" s="15"/>
    </row>
    <row r="4" spans="1:7" x14ac:dyDescent="0.2">
      <c r="A4" s="15" t="s">
        <v>72</v>
      </c>
      <c r="B4" s="15" t="s">
        <v>132</v>
      </c>
      <c r="C4" s="15" t="s">
        <v>386</v>
      </c>
      <c r="D4" s="15" t="s">
        <v>387</v>
      </c>
      <c r="E4" s="15">
        <v>2</v>
      </c>
      <c r="F4" s="15"/>
      <c r="G4" s="15" t="s">
        <v>619</v>
      </c>
    </row>
    <row r="5" spans="1:7" x14ac:dyDescent="0.2">
      <c r="A5" s="15" t="s">
        <v>72</v>
      </c>
      <c r="B5" s="15" t="s">
        <v>132</v>
      </c>
      <c r="C5" s="15" t="s">
        <v>388</v>
      </c>
      <c r="D5" s="15" t="s">
        <v>389</v>
      </c>
      <c r="E5" s="15">
        <v>1</v>
      </c>
      <c r="F5" s="15"/>
      <c r="G5" s="15"/>
    </row>
    <row r="6" spans="1:7" x14ac:dyDescent="0.2">
      <c r="A6" s="15" t="s">
        <v>72</v>
      </c>
      <c r="B6" s="15" t="s">
        <v>132</v>
      </c>
      <c r="C6" s="15" t="s">
        <v>390</v>
      </c>
      <c r="D6" s="15" t="s">
        <v>391</v>
      </c>
      <c r="E6" s="15">
        <v>1</v>
      </c>
      <c r="F6" s="15"/>
      <c r="G6" s="15"/>
    </row>
    <row r="7" spans="1:7" x14ac:dyDescent="0.2">
      <c r="A7" s="15" t="s">
        <v>72</v>
      </c>
      <c r="B7" s="15" t="s">
        <v>132</v>
      </c>
      <c r="C7" s="15" t="s">
        <v>392</v>
      </c>
      <c r="D7" s="15" t="s">
        <v>393</v>
      </c>
      <c r="E7" s="15">
        <v>1</v>
      </c>
      <c r="F7" s="15"/>
      <c r="G7" s="15"/>
    </row>
    <row r="8" spans="1:7" x14ac:dyDescent="0.2">
      <c r="A8" s="15" t="s">
        <v>72</v>
      </c>
      <c r="B8" s="15" t="s">
        <v>132</v>
      </c>
      <c r="C8" s="15" t="s">
        <v>394</v>
      </c>
      <c r="D8" s="15" t="s">
        <v>395</v>
      </c>
      <c r="E8" s="15">
        <v>2</v>
      </c>
      <c r="F8" s="15"/>
      <c r="G8" s="35"/>
    </row>
    <row r="9" spans="1:7" x14ac:dyDescent="0.2">
      <c r="A9" s="15" t="s">
        <v>72</v>
      </c>
      <c r="B9" s="15" t="s">
        <v>132</v>
      </c>
      <c r="C9" s="15" t="s">
        <v>396</v>
      </c>
      <c r="D9" s="15" t="s">
        <v>397</v>
      </c>
      <c r="E9" s="15">
        <v>2</v>
      </c>
      <c r="F9" s="15"/>
      <c r="G9" s="15"/>
    </row>
    <row r="10" spans="1:7" x14ac:dyDescent="0.2">
      <c r="A10" s="15" t="s">
        <v>72</v>
      </c>
      <c r="B10" s="15" t="s">
        <v>132</v>
      </c>
      <c r="C10" s="15" t="s">
        <v>398</v>
      </c>
      <c r="D10" s="15" t="s">
        <v>399</v>
      </c>
      <c r="E10" s="15">
        <v>4</v>
      </c>
      <c r="F10" s="15"/>
      <c r="G10" s="15"/>
    </row>
    <row r="11" spans="1:7" x14ac:dyDescent="0.2">
      <c r="A11" s="15" t="s">
        <v>78</v>
      </c>
      <c r="B11" s="15" t="s">
        <v>132</v>
      </c>
      <c r="C11" s="15" t="s">
        <v>400</v>
      </c>
      <c r="D11" s="15" t="s">
        <v>401</v>
      </c>
      <c r="E11" s="15">
        <v>2</v>
      </c>
      <c r="F11" s="15"/>
      <c r="G11" s="15"/>
    </row>
    <row r="12" spans="1:7" x14ac:dyDescent="0.2">
      <c r="A12" s="15" t="s">
        <v>78</v>
      </c>
      <c r="B12" s="15" t="s">
        <v>132</v>
      </c>
      <c r="C12" s="15" t="s">
        <v>402</v>
      </c>
      <c r="D12" s="15" t="s">
        <v>403</v>
      </c>
      <c r="E12" s="15">
        <v>1</v>
      </c>
      <c r="F12" s="15"/>
      <c r="G12" s="15"/>
    </row>
    <row r="13" spans="1:7" x14ac:dyDescent="0.2">
      <c r="A13" s="15" t="s">
        <v>78</v>
      </c>
      <c r="B13" s="15" t="s">
        <v>132</v>
      </c>
      <c r="C13" s="15" t="s">
        <v>404</v>
      </c>
      <c r="D13" s="15" t="s">
        <v>405</v>
      </c>
      <c r="E13" s="15">
        <v>2</v>
      </c>
      <c r="F13" s="15"/>
      <c r="G13" s="15"/>
    </row>
    <row r="14" spans="1:7" x14ac:dyDescent="0.2">
      <c r="A14" s="15" t="s">
        <v>78</v>
      </c>
      <c r="B14" s="15" t="s">
        <v>132</v>
      </c>
      <c r="C14" s="15" t="s">
        <v>406</v>
      </c>
      <c r="D14" s="15" t="s">
        <v>407</v>
      </c>
      <c r="E14" s="15">
        <v>2</v>
      </c>
      <c r="F14" s="15"/>
      <c r="G14" s="15"/>
    </row>
    <row r="15" spans="1:7" x14ac:dyDescent="0.2">
      <c r="A15" s="15" t="s">
        <v>78</v>
      </c>
      <c r="B15" s="15" t="s">
        <v>132</v>
      </c>
      <c r="C15" s="15" t="s">
        <v>388</v>
      </c>
      <c r="D15" s="15" t="s">
        <v>389</v>
      </c>
      <c r="E15" s="15">
        <v>1</v>
      </c>
      <c r="F15" s="15"/>
      <c r="G15" s="15"/>
    </row>
    <row r="16" spans="1:7" x14ac:dyDescent="0.2">
      <c r="A16" s="15" t="s">
        <v>78</v>
      </c>
      <c r="B16" s="15" t="s">
        <v>132</v>
      </c>
      <c r="C16" s="15" t="s">
        <v>408</v>
      </c>
      <c r="D16" s="15" t="s">
        <v>409</v>
      </c>
      <c r="E16" s="15">
        <v>1</v>
      </c>
      <c r="F16" s="15"/>
      <c r="G16" s="15"/>
    </row>
    <row r="17" spans="1:7" x14ac:dyDescent="0.2">
      <c r="A17" s="15" t="s">
        <v>78</v>
      </c>
      <c r="B17" s="15" t="s">
        <v>132</v>
      </c>
      <c r="C17" s="15" t="s">
        <v>410</v>
      </c>
      <c r="D17" s="15" t="s">
        <v>411</v>
      </c>
      <c r="E17" s="15" t="s">
        <v>412</v>
      </c>
      <c r="F17" s="15"/>
      <c r="G17" s="15"/>
    </row>
    <row r="18" spans="1:7" x14ac:dyDescent="0.2">
      <c r="A18" s="15" t="s">
        <v>78</v>
      </c>
      <c r="B18" s="15" t="s">
        <v>132</v>
      </c>
      <c r="C18" s="15" t="s">
        <v>413</v>
      </c>
      <c r="D18" s="15" t="s">
        <v>414</v>
      </c>
      <c r="E18" s="15" t="s">
        <v>412</v>
      </c>
      <c r="F18" s="15"/>
      <c r="G18" s="15"/>
    </row>
    <row r="19" spans="1:7" x14ac:dyDescent="0.2">
      <c r="A19" s="15" t="s">
        <v>78</v>
      </c>
      <c r="B19" s="15" t="s">
        <v>132</v>
      </c>
      <c r="C19" s="15" t="s">
        <v>415</v>
      </c>
      <c r="D19" s="15" t="s">
        <v>416</v>
      </c>
      <c r="E19" s="15">
        <v>1</v>
      </c>
      <c r="F19" s="15"/>
      <c r="G19" s="15"/>
    </row>
    <row r="20" spans="1:7" x14ac:dyDescent="0.2">
      <c r="A20" s="15" t="s">
        <v>78</v>
      </c>
      <c r="B20" s="15" t="s">
        <v>132</v>
      </c>
      <c r="C20" s="15" t="s">
        <v>417</v>
      </c>
      <c r="D20" s="15" t="s">
        <v>418</v>
      </c>
      <c r="E20" s="15">
        <v>1</v>
      </c>
      <c r="F20" s="15"/>
      <c r="G20" s="15"/>
    </row>
    <row r="21" spans="1:7" x14ac:dyDescent="0.2">
      <c r="A21" s="15" t="s">
        <v>78</v>
      </c>
      <c r="B21" s="15" t="s">
        <v>132</v>
      </c>
      <c r="C21" s="15" t="s">
        <v>419</v>
      </c>
      <c r="D21" s="15" t="s">
        <v>420</v>
      </c>
      <c r="E21" s="15">
        <v>2</v>
      </c>
      <c r="F21" s="15"/>
      <c r="G21" s="15"/>
    </row>
    <row r="22" spans="1:7" x14ac:dyDescent="0.2">
      <c r="A22" s="15" t="s">
        <v>78</v>
      </c>
      <c r="B22" s="15" t="s">
        <v>132</v>
      </c>
      <c r="C22" s="15" t="s">
        <v>421</v>
      </c>
      <c r="D22" s="15" t="s">
        <v>422</v>
      </c>
      <c r="E22" s="15">
        <v>2</v>
      </c>
      <c r="F22" s="15"/>
      <c r="G22" s="15"/>
    </row>
    <row r="23" spans="1:7" x14ac:dyDescent="0.2">
      <c r="A23" s="15" t="s">
        <v>78</v>
      </c>
      <c r="B23" s="15" t="s">
        <v>132</v>
      </c>
      <c r="C23" s="15" t="s">
        <v>423</v>
      </c>
      <c r="D23" s="15" t="s">
        <v>424</v>
      </c>
      <c r="E23" s="15">
        <v>2</v>
      </c>
      <c r="F23" s="15"/>
      <c r="G23" s="15"/>
    </row>
    <row r="24" spans="1:7" x14ac:dyDescent="0.2">
      <c r="A24" s="15" t="s">
        <v>78</v>
      </c>
      <c r="B24" s="15" t="s">
        <v>132</v>
      </c>
      <c r="C24" s="15" t="s">
        <v>425</v>
      </c>
      <c r="D24" s="15" t="s">
        <v>426</v>
      </c>
      <c r="E24" s="15" t="s">
        <v>412</v>
      </c>
      <c r="F24" s="15"/>
      <c r="G24" s="15"/>
    </row>
    <row r="25" spans="1:7" x14ac:dyDescent="0.2">
      <c r="A25" s="15" t="s">
        <v>78</v>
      </c>
      <c r="B25" s="15" t="s">
        <v>132</v>
      </c>
      <c r="C25" s="15" t="s">
        <v>427</v>
      </c>
      <c r="D25" s="15" t="s">
        <v>428</v>
      </c>
      <c r="E25" s="15" t="s">
        <v>412</v>
      </c>
      <c r="F25" s="15"/>
      <c r="G25" s="15"/>
    </row>
    <row r="26" spans="1:7" x14ac:dyDescent="0.2">
      <c r="A26" s="15" t="s">
        <v>82</v>
      </c>
      <c r="B26" s="15" t="s">
        <v>132</v>
      </c>
      <c r="C26" s="15" t="s">
        <v>429</v>
      </c>
      <c r="D26" s="15" t="s">
        <v>430</v>
      </c>
      <c r="E26" s="15">
        <v>3</v>
      </c>
      <c r="F26" s="15"/>
      <c r="G26" s="15"/>
    </row>
    <row r="27" spans="1:7" x14ac:dyDescent="0.2">
      <c r="A27" s="15" t="s">
        <v>82</v>
      </c>
      <c r="B27" s="15" t="s">
        <v>132</v>
      </c>
      <c r="C27" s="15" t="s">
        <v>421</v>
      </c>
      <c r="D27" s="15" t="s">
        <v>422</v>
      </c>
      <c r="E27" s="15">
        <v>3</v>
      </c>
      <c r="F27" s="15"/>
      <c r="G27" s="15"/>
    </row>
    <row r="28" spans="1:7" x14ac:dyDescent="0.2">
      <c r="A28" s="15" t="s">
        <v>82</v>
      </c>
      <c r="B28" s="15" t="s">
        <v>132</v>
      </c>
      <c r="C28" s="15" t="s">
        <v>386</v>
      </c>
      <c r="D28" s="15" t="s">
        <v>387</v>
      </c>
      <c r="E28" s="15">
        <v>2</v>
      </c>
      <c r="F28" s="15"/>
      <c r="G28" s="15"/>
    </row>
    <row r="29" spans="1:7" x14ac:dyDescent="0.2">
      <c r="A29" s="15" t="s">
        <v>82</v>
      </c>
      <c r="B29" s="15" t="s">
        <v>132</v>
      </c>
      <c r="C29" s="15" t="s">
        <v>431</v>
      </c>
      <c r="D29" s="15" t="s">
        <v>432</v>
      </c>
      <c r="E29" s="15">
        <v>2</v>
      </c>
      <c r="F29" s="15"/>
      <c r="G29" s="15"/>
    </row>
    <row r="30" spans="1:7" x14ac:dyDescent="0.2">
      <c r="A30" s="15" t="s">
        <v>82</v>
      </c>
      <c r="B30" s="15" t="s">
        <v>132</v>
      </c>
      <c r="C30" s="15" t="s">
        <v>413</v>
      </c>
      <c r="D30" s="15" t="s">
        <v>414</v>
      </c>
      <c r="E30" s="15" t="s">
        <v>412</v>
      </c>
      <c r="F30" s="15"/>
      <c r="G30" s="15"/>
    </row>
    <row r="31" spans="1:7" x14ac:dyDescent="0.2">
      <c r="A31" s="15" t="s">
        <v>82</v>
      </c>
      <c r="B31" s="15" t="s">
        <v>132</v>
      </c>
      <c r="C31" s="15" t="s">
        <v>390</v>
      </c>
      <c r="D31" s="15" t="s">
        <v>391</v>
      </c>
      <c r="E31" s="15" t="s">
        <v>412</v>
      </c>
      <c r="F31" s="15"/>
      <c r="G31" s="15"/>
    </row>
    <row r="32" spans="1:7" x14ac:dyDescent="0.2">
      <c r="A32" s="15" t="s">
        <v>82</v>
      </c>
      <c r="B32" s="15" t="s">
        <v>132</v>
      </c>
      <c r="C32" s="15" t="s">
        <v>433</v>
      </c>
      <c r="D32" s="15" t="s">
        <v>434</v>
      </c>
      <c r="E32" s="15" t="s">
        <v>412</v>
      </c>
      <c r="F32" s="15"/>
      <c r="G32" s="15"/>
    </row>
    <row r="33" spans="1:7" x14ac:dyDescent="0.2">
      <c r="A33" s="15" t="s">
        <v>87</v>
      </c>
      <c r="B33" s="15" t="s">
        <v>132</v>
      </c>
      <c r="C33" s="15" t="s">
        <v>386</v>
      </c>
      <c r="D33" s="15" t="s">
        <v>387</v>
      </c>
      <c r="E33" s="15">
        <v>2</v>
      </c>
      <c r="F33" s="15"/>
      <c r="G33" s="15"/>
    </row>
    <row r="34" spans="1:7" x14ac:dyDescent="0.2">
      <c r="A34" s="15" t="s">
        <v>87</v>
      </c>
      <c r="B34" s="15" t="s">
        <v>132</v>
      </c>
      <c r="C34" s="15" t="s">
        <v>421</v>
      </c>
      <c r="D34" s="15" t="s">
        <v>422</v>
      </c>
      <c r="E34" s="15">
        <v>3</v>
      </c>
      <c r="F34" s="15"/>
      <c r="G34" s="15"/>
    </row>
    <row r="35" spans="1:7" x14ac:dyDescent="0.2">
      <c r="A35" s="15" t="s">
        <v>87</v>
      </c>
      <c r="B35" s="15" t="s">
        <v>132</v>
      </c>
      <c r="C35" s="15" t="s">
        <v>417</v>
      </c>
      <c r="D35" s="15" t="s">
        <v>418</v>
      </c>
      <c r="E35" s="15" t="s">
        <v>412</v>
      </c>
      <c r="F35" s="15"/>
      <c r="G35" s="15"/>
    </row>
    <row r="36" spans="1:7" x14ac:dyDescent="0.2">
      <c r="A36" s="15" t="s">
        <v>87</v>
      </c>
      <c r="B36" s="15" t="s">
        <v>132</v>
      </c>
      <c r="C36" s="15" t="s">
        <v>435</v>
      </c>
      <c r="D36" s="15" t="s">
        <v>435</v>
      </c>
      <c r="E36" s="15" t="s">
        <v>412</v>
      </c>
      <c r="F36" s="15"/>
      <c r="G36" s="15"/>
    </row>
    <row r="37" spans="1:7" x14ac:dyDescent="0.2">
      <c r="A37" s="15" t="s">
        <v>90</v>
      </c>
      <c r="B37" s="15" t="s">
        <v>132</v>
      </c>
      <c r="C37" s="15" t="s">
        <v>390</v>
      </c>
      <c r="D37" s="15" t="s">
        <v>391</v>
      </c>
      <c r="E37" s="15">
        <v>1</v>
      </c>
      <c r="F37" s="15"/>
      <c r="G37" s="15"/>
    </row>
    <row r="38" spans="1:7" x14ac:dyDescent="0.2">
      <c r="A38" s="15" t="s">
        <v>90</v>
      </c>
      <c r="B38" s="15" t="s">
        <v>132</v>
      </c>
      <c r="C38" s="15" t="s">
        <v>384</v>
      </c>
      <c r="D38" s="15" t="s">
        <v>385</v>
      </c>
      <c r="E38" s="15">
        <v>2</v>
      </c>
      <c r="F38" s="15"/>
      <c r="G38" s="15"/>
    </row>
    <row r="39" spans="1:7" x14ac:dyDescent="0.2">
      <c r="A39" s="15" t="s">
        <v>90</v>
      </c>
      <c r="B39" s="15" t="s">
        <v>132</v>
      </c>
      <c r="C39" s="15" t="s">
        <v>436</v>
      </c>
      <c r="D39" s="15" t="s">
        <v>437</v>
      </c>
      <c r="E39" s="15">
        <v>1</v>
      </c>
      <c r="F39" s="15"/>
      <c r="G39" s="15"/>
    </row>
    <row r="40" spans="1:7" x14ac:dyDescent="0.2">
      <c r="A40" s="15" t="s">
        <v>90</v>
      </c>
      <c r="B40" s="15" t="s">
        <v>132</v>
      </c>
      <c r="C40" s="15" t="s">
        <v>421</v>
      </c>
      <c r="D40" s="15" t="s">
        <v>422</v>
      </c>
      <c r="E40" s="15">
        <v>2</v>
      </c>
      <c r="F40" s="15"/>
      <c r="G40" s="15"/>
    </row>
    <row r="41" spans="1:7" x14ac:dyDescent="0.2">
      <c r="A41" s="15" t="s">
        <v>90</v>
      </c>
      <c r="B41" s="15" t="s">
        <v>132</v>
      </c>
      <c r="C41" s="15" t="s">
        <v>438</v>
      </c>
      <c r="D41" s="15" t="s">
        <v>439</v>
      </c>
      <c r="E41" s="15" t="s">
        <v>412</v>
      </c>
      <c r="F41" s="15"/>
      <c r="G41" s="15"/>
    </row>
    <row r="42" spans="1:7" x14ac:dyDescent="0.2">
      <c r="A42" s="15" t="s">
        <v>90</v>
      </c>
      <c r="B42" s="15" t="s">
        <v>132</v>
      </c>
      <c r="C42" s="15" t="s">
        <v>406</v>
      </c>
      <c r="D42" s="15" t="s">
        <v>407</v>
      </c>
      <c r="E42" s="15">
        <v>1</v>
      </c>
      <c r="F42" s="15"/>
      <c r="G42" s="15"/>
    </row>
    <row r="43" spans="1:7" x14ac:dyDescent="0.2">
      <c r="A43" s="15" t="s">
        <v>93</v>
      </c>
      <c r="B43" s="15" t="s">
        <v>132</v>
      </c>
      <c r="C43" s="15" t="s">
        <v>440</v>
      </c>
      <c r="D43" s="15" t="s">
        <v>441</v>
      </c>
      <c r="E43" s="15">
        <v>2</v>
      </c>
      <c r="F43" s="15"/>
      <c r="G43" s="15"/>
    </row>
    <row r="44" spans="1:7" x14ac:dyDescent="0.2">
      <c r="A44" s="15" t="s">
        <v>93</v>
      </c>
      <c r="B44" s="15" t="s">
        <v>132</v>
      </c>
      <c r="C44" s="15" t="s">
        <v>442</v>
      </c>
      <c r="D44" s="15" t="s">
        <v>443</v>
      </c>
      <c r="E44" s="15">
        <v>1</v>
      </c>
      <c r="F44" s="15"/>
      <c r="G44" s="15"/>
    </row>
    <row r="45" spans="1:7" x14ac:dyDescent="0.2">
      <c r="A45" s="15" t="s">
        <v>93</v>
      </c>
      <c r="B45" s="15" t="s">
        <v>132</v>
      </c>
      <c r="C45" s="15" t="s">
        <v>398</v>
      </c>
      <c r="D45" s="15" t="s">
        <v>399</v>
      </c>
      <c r="E45" s="15">
        <v>2</v>
      </c>
      <c r="F45" s="15"/>
      <c r="G45" s="15"/>
    </row>
    <row r="46" spans="1:7" x14ac:dyDescent="0.2">
      <c r="A46" s="15" t="s">
        <v>93</v>
      </c>
      <c r="B46" s="15" t="s">
        <v>132</v>
      </c>
      <c r="C46" s="15" t="s">
        <v>421</v>
      </c>
      <c r="D46" s="15" t="s">
        <v>422</v>
      </c>
      <c r="E46" s="15">
        <v>3</v>
      </c>
      <c r="F46" s="15"/>
      <c r="G46" s="15"/>
    </row>
    <row r="47" spans="1:7" x14ac:dyDescent="0.2">
      <c r="A47" s="15" t="s">
        <v>95</v>
      </c>
      <c r="B47" s="15" t="s">
        <v>132</v>
      </c>
      <c r="C47" s="15" t="s">
        <v>421</v>
      </c>
      <c r="D47" s="15" t="s">
        <v>422</v>
      </c>
      <c r="E47" s="15">
        <v>2</v>
      </c>
      <c r="F47" s="15"/>
      <c r="G47" s="15"/>
    </row>
    <row r="48" spans="1:7" x14ac:dyDescent="0.2">
      <c r="A48" s="15" t="s">
        <v>95</v>
      </c>
      <c r="B48" s="15" t="s">
        <v>132</v>
      </c>
      <c r="C48" s="15" t="s">
        <v>398</v>
      </c>
      <c r="D48" s="15" t="s">
        <v>399</v>
      </c>
      <c r="E48" s="15">
        <v>2</v>
      </c>
      <c r="F48" s="15"/>
      <c r="G48" s="15"/>
    </row>
    <row r="49" spans="1:7" x14ac:dyDescent="0.2">
      <c r="A49" s="15" t="s">
        <v>95</v>
      </c>
      <c r="B49" s="15" t="s">
        <v>132</v>
      </c>
      <c r="C49" s="15" t="s">
        <v>444</v>
      </c>
      <c r="D49" s="15" t="s">
        <v>445</v>
      </c>
      <c r="E49" s="15">
        <v>1</v>
      </c>
      <c r="F49" s="15"/>
      <c r="G49" s="15"/>
    </row>
    <row r="50" spans="1:7" x14ac:dyDescent="0.2">
      <c r="A50" s="15" t="s">
        <v>95</v>
      </c>
      <c r="B50" s="15" t="s">
        <v>132</v>
      </c>
      <c r="C50" s="15" t="s">
        <v>404</v>
      </c>
      <c r="D50" s="15" t="s">
        <v>405</v>
      </c>
      <c r="E50" s="15">
        <v>1</v>
      </c>
      <c r="F50" s="15"/>
      <c r="G50" s="15"/>
    </row>
    <row r="51" spans="1:7" x14ac:dyDescent="0.2">
      <c r="A51" s="15" t="s">
        <v>95</v>
      </c>
      <c r="B51" s="15" t="s">
        <v>132</v>
      </c>
      <c r="C51" s="15" t="s">
        <v>446</v>
      </c>
      <c r="D51" s="15" t="s">
        <v>447</v>
      </c>
      <c r="E51" s="15">
        <v>1</v>
      </c>
      <c r="F51" s="15"/>
      <c r="G51" s="15"/>
    </row>
    <row r="52" spans="1:7" x14ac:dyDescent="0.2">
      <c r="A52" s="15" t="s">
        <v>95</v>
      </c>
      <c r="B52" s="15" t="s">
        <v>132</v>
      </c>
      <c r="C52" s="15" t="s">
        <v>417</v>
      </c>
      <c r="D52" s="15" t="s">
        <v>418</v>
      </c>
      <c r="E52" s="15" t="s">
        <v>412</v>
      </c>
      <c r="F52" s="15"/>
      <c r="G52" s="15"/>
    </row>
    <row r="53" spans="1:7" x14ac:dyDescent="0.2">
      <c r="A53" s="15" t="s">
        <v>95</v>
      </c>
      <c r="B53" s="15" t="s">
        <v>132</v>
      </c>
      <c r="C53" s="15" t="s">
        <v>396</v>
      </c>
      <c r="D53" s="15" t="s">
        <v>397</v>
      </c>
      <c r="E53" s="15">
        <v>2</v>
      </c>
      <c r="F53" s="15"/>
      <c r="G53" s="15"/>
    </row>
    <row r="54" spans="1:7" x14ac:dyDescent="0.2">
      <c r="A54" s="15" t="s">
        <v>98</v>
      </c>
      <c r="B54" s="15" t="s">
        <v>132</v>
      </c>
      <c r="C54" s="15" t="s">
        <v>396</v>
      </c>
      <c r="D54" s="15" t="s">
        <v>397</v>
      </c>
      <c r="E54" s="15">
        <v>2</v>
      </c>
      <c r="F54" s="15"/>
      <c r="G54" s="15"/>
    </row>
    <row r="55" spans="1:7" x14ac:dyDescent="0.2">
      <c r="A55" s="15" t="s">
        <v>98</v>
      </c>
      <c r="B55" s="15" t="s">
        <v>132</v>
      </c>
      <c r="C55" s="15" t="s">
        <v>421</v>
      </c>
      <c r="D55" s="15" t="s">
        <v>422</v>
      </c>
      <c r="E55" s="15">
        <v>2</v>
      </c>
      <c r="F55" s="15"/>
      <c r="G55" s="15"/>
    </row>
    <row r="56" spans="1:7" x14ac:dyDescent="0.2">
      <c r="A56" s="15" t="s">
        <v>98</v>
      </c>
      <c r="B56" s="15" t="s">
        <v>132</v>
      </c>
      <c r="C56" s="15" t="s">
        <v>384</v>
      </c>
      <c r="D56" s="15" t="s">
        <v>385</v>
      </c>
      <c r="E56" s="15">
        <v>2</v>
      </c>
      <c r="F56" s="15"/>
      <c r="G56" s="15"/>
    </row>
    <row r="57" spans="1:7" x14ac:dyDescent="0.2">
      <c r="A57" s="15" t="s">
        <v>98</v>
      </c>
      <c r="B57" s="15" t="s">
        <v>132</v>
      </c>
      <c r="C57" s="15" t="s">
        <v>427</v>
      </c>
      <c r="D57" s="15" t="s">
        <v>428</v>
      </c>
      <c r="E57" s="15" t="s">
        <v>412</v>
      </c>
      <c r="F57" s="15"/>
      <c r="G57" s="15"/>
    </row>
    <row r="58" spans="1:7" x14ac:dyDescent="0.2">
      <c r="A58" s="15" t="s">
        <v>98</v>
      </c>
      <c r="B58" s="15" t="s">
        <v>132</v>
      </c>
      <c r="C58" s="15" t="s">
        <v>386</v>
      </c>
      <c r="D58" s="15" t="s">
        <v>387</v>
      </c>
      <c r="E58" s="15">
        <v>1</v>
      </c>
      <c r="F58" s="15"/>
      <c r="G58" s="15"/>
    </row>
    <row r="59" spans="1:7" x14ac:dyDescent="0.2">
      <c r="A59" s="15" t="s">
        <v>98</v>
      </c>
      <c r="B59" s="15" t="s">
        <v>132</v>
      </c>
      <c r="C59" s="15" t="s">
        <v>448</v>
      </c>
      <c r="D59" s="15" t="s">
        <v>449</v>
      </c>
      <c r="E59" s="15">
        <v>1</v>
      </c>
      <c r="F59" s="15"/>
      <c r="G59" s="15"/>
    </row>
    <row r="60" spans="1:7" x14ac:dyDescent="0.2">
      <c r="A60" s="15" t="s">
        <v>98</v>
      </c>
      <c r="B60" s="15" t="s">
        <v>132</v>
      </c>
      <c r="C60" s="15" t="s">
        <v>438</v>
      </c>
      <c r="D60" s="15" t="s">
        <v>439</v>
      </c>
      <c r="E60" s="15" t="s">
        <v>412</v>
      </c>
      <c r="F60" s="15"/>
      <c r="G60" s="15"/>
    </row>
    <row r="61" spans="1:7" x14ac:dyDescent="0.2">
      <c r="A61" s="15" t="s">
        <v>98</v>
      </c>
      <c r="B61" s="15" t="s">
        <v>132</v>
      </c>
      <c r="C61" s="15" t="s">
        <v>450</v>
      </c>
      <c r="D61" s="15" t="s">
        <v>451</v>
      </c>
      <c r="E61" s="15" t="s">
        <v>412</v>
      </c>
      <c r="F61" s="15"/>
      <c r="G61" s="15"/>
    </row>
    <row r="62" spans="1:7" x14ac:dyDescent="0.2">
      <c r="A62" s="15" t="s">
        <v>98</v>
      </c>
      <c r="B62" s="15" t="s">
        <v>132</v>
      </c>
      <c r="C62" s="15" t="s">
        <v>398</v>
      </c>
      <c r="D62" s="15" t="s">
        <v>399</v>
      </c>
      <c r="E62" s="15">
        <v>2</v>
      </c>
      <c r="F62" s="15"/>
      <c r="G62" s="15"/>
    </row>
    <row r="63" spans="1:7" x14ac:dyDescent="0.2">
      <c r="A63" s="15" t="s">
        <v>98</v>
      </c>
      <c r="B63" s="15" t="s">
        <v>132</v>
      </c>
      <c r="C63" s="15" t="s">
        <v>452</v>
      </c>
      <c r="D63" s="15" t="s">
        <v>453</v>
      </c>
      <c r="E63" s="15" t="s">
        <v>412</v>
      </c>
      <c r="F63" s="15"/>
      <c r="G63" s="15"/>
    </row>
    <row r="64" spans="1:7" x14ac:dyDescent="0.2">
      <c r="A64" s="15" t="s">
        <v>100</v>
      </c>
      <c r="B64" s="15" t="s">
        <v>132</v>
      </c>
      <c r="C64" s="15" t="s">
        <v>438</v>
      </c>
      <c r="D64" s="15" t="s">
        <v>439</v>
      </c>
      <c r="E64" s="15">
        <v>1</v>
      </c>
      <c r="F64" s="15"/>
      <c r="G64" s="15"/>
    </row>
    <row r="65" spans="1:7" x14ac:dyDescent="0.2">
      <c r="A65" s="15" t="s">
        <v>100</v>
      </c>
      <c r="B65" s="15" t="s">
        <v>132</v>
      </c>
      <c r="C65" s="15" t="s">
        <v>398</v>
      </c>
      <c r="D65" s="15" t="s">
        <v>399</v>
      </c>
      <c r="E65" s="15">
        <v>2</v>
      </c>
      <c r="F65" s="15"/>
      <c r="G65" s="15"/>
    </row>
    <row r="66" spans="1:7" x14ac:dyDescent="0.2">
      <c r="A66" s="15" t="s">
        <v>100</v>
      </c>
      <c r="B66" s="15" t="s">
        <v>132</v>
      </c>
      <c r="C66" s="15" t="s">
        <v>386</v>
      </c>
      <c r="D66" s="15" t="s">
        <v>387</v>
      </c>
      <c r="E66" s="15">
        <v>1</v>
      </c>
      <c r="F66" s="15"/>
      <c r="G66" s="15"/>
    </row>
    <row r="67" spans="1:7" x14ac:dyDescent="0.2">
      <c r="A67" s="15" t="s">
        <v>100</v>
      </c>
      <c r="B67" s="15" t="s">
        <v>132</v>
      </c>
      <c r="C67" s="15" t="s">
        <v>421</v>
      </c>
      <c r="D67" s="15" t="s">
        <v>422</v>
      </c>
      <c r="E67" s="15">
        <v>2</v>
      </c>
      <c r="F67" s="15"/>
      <c r="G67" s="15"/>
    </row>
    <row r="68" spans="1:7" x14ac:dyDescent="0.2">
      <c r="A68" s="15" t="s">
        <v>100</v>
      </c>
      <c r="B68" s="15" t="s">
        <v>132</v>
      </c>
      <c r="C68" s="15" t="s">
        <v>448</v>
      </c>
      <c r="D68" s="15" t="s">
        <v>449</v>
      </c>
      <c r="E68" s="15">
        <v>1</v>
      </c>
      <c r="F68" s="15"/>
      <c r="G68" s="15"/>
    </row>
    <row r="69" spans="1:7" x14ac:dyDescent="0.2">
      <c r="A69" s="15" t="s">
        <v>100</v>
      </c>
      <c r="B69" s="15" t="s">
        <v>132</v>
      </c>
      <c r="C69" s="15" t="s">
        <v>384</v>
      </c>
      <c r="D69" s="15" t="s">
        <v>385</v>
      </c>
      <c r="E69" s="15">
        <v>1</v>
      </c>
      <c r="F69" s="15"/>
      <c r="G69" s="15"/>
    </row>
    <row r="70" spans="1:7" x14ac:dyDescent="0.2">
      <c r="A70" s="15" t="s">
        <v>100</v>
      </c>
      <c r="B70" s="15" t="s">
        <v>132</v>
      </c>
      <c r="C70" s="15" t="s">
        <v>406</v>
      </c>
      <c r="D70" s="15" t="s">
        <v>407</v>
      </c>
      <c r="E70" s="15">
        <v>2</v>
      </c>
      <c r="F70" s="15"/>
      <c r="G70" s="15"/>
    </row>
    <row r="71" spans="1:7" x14ac:dyDescent="0.2">
      <c r="A71" s="15" t="s">
        <v>100</v>
      </c>
      <c r="B71" s="15" t="s">
        <v>132</v>
      </c>
      <c r="C71" s="15" t="s">
        <v>431</v>
      </c>
      <c r="D71" s="15" t="s">
        <v>432</v>
      </c>
      <c r="E71" s="15">
        <v>1</v>
      </c>
      <c r="F71" s="15"/>
      <c r="G71" s="15"/>
    </row>
    <row r="72" spans="1:7" x14ac:dyDescent="0.2">
      <c r="A72" s="15" t="s">
        <v>100</v>
      </c>
      <c r="B72" s="15" t="s">
        <v>132</v>
      </c>
      <c r="C72" s="15" t="s">
        <v>454</v>
      </c>
      <c r="D72" s="15" t="s">
        <v>455</v>
      </c>
      <c r="E72" s="15" t="s">
        <v>412</v>
      </c>
      <c r="F72" s="15"/>
      <c r="G72" s="15"/>
    </row>
    <row r="73" spans="1:7" x14ac:dyDescent="0.2">
      <c r="A73" s="15" t="s">
        <v>100</v>
      </c>
      <c r="B73" s="15" t="s">
        <v>132</v>
      </c>
      <c r="C73" s="15" t="s">
        <v>440</v>
      </c>
      <c r="D73" s="15" t="s">
        <v>441</v>
      </c>
      <c r="E73" s="15">
        <v>1</v>
      </c>
      <c r="F73" s="15"/>
      <c r="G73" s="15"/>
    </row>
    <row r="74" spans="1:7" x14ac:dyDescent="0.2">
      <c r="A74" s="15" t="s">
        <v>101</v>
      </c>
      <c r="B74" s="15" t="s">
        <v>132</v>
      </c>
      <c r="C74" s="15" t="s">
        <v>442</v>
      </c>
      <c r="D74" s="15" t="s">
        <v>443</v>
      </c>
      <c r="E74" s="15">
        <v>1</v>
      </c>
      <c r="F74" s="15"/>
      <c r="G74" s="15"/>
    </row>
    <row r="75" spans="1:7" x14ac:dyDescent="0.2">
      <c r="A75" s="15" t="s">
        <v>101</v>
      </c>
      <c r="B75" s="15" t="s">
        <v>132</v>
      </c>
      <c r="C75" s="15" t="s">
        <v>396</v>
      </c>
      <c r="D75" s="15" t="s">
        <v>397</v>
      </c>
      <c r="E75" s="15">
        <v>2</v>
      </c>
      <c r="F75" s="15"/>
      <c r="G75" s="15"/>
    </row>
    <row r="76" spans="1:7" x14ac:dyDescent="0.2">
      <c r="A76" s="15" t="s">
        <v>101</v>
      </c>
      <c r="B76" s="15" t="s">
        <v>132</v>
      </c>
      <c r="C76" s="15" t="s">
        <v>427</v>
      </c>
      <c r="D76" s="15" t="s">
        <v>428</v>
      </c>
      <c r="E76" s="15">
        <v>1</v>
      </c>
      <c r="F76" s="15"/>
      <c r="G76" s="15"/>
    </row>
    <row r="77" spans="1:7" x14ac:dyDescent="0.2">
      <c r="A77" s="15" t="s">
        <v>101</v>
      </c>
      <c r="B77" s="15" t="s">
        <v>132</v>
      </c>
      <c r="C77" s="15" t="s">
        <v>413</v>
      </c>
      <c r="D77" s="15" t="s">
        <v>414</v>
      </c>
      <c r="E77" s="15" t="s">
        <v>412</v>
      </c>
      <c r="F77" s="15"/>
      <c r="G77" s="15"/>
    </row>
    <row r="78" spans="1:7" x14ac:dyDescent="0.2">
      <c r="A78" s="15" t="s">
        <v>101</v>
      </c>
      <c r="B78" s="15" t="s">
        <v>132</v>
      </c>
      <c r="C78" s="15" t="s">
        <v>448</v>
      </c>
      <c r="D78" s="15" t="s">
        <v>449</v>
      </c>
      <c r="E78" s="15">
        <v>1</v>
      </c>
      <c r="F78" s="15"/>
      <c r="G78" s="15"/>
    </row>
    <row r="79" spans="1:7" x14ac:dyDescent="0.2">
      <c r="A79" s="15" t="s">
        <v>101</v>
      </c>
      <c r="B79" s="15" t="s">
        <v>132</v>
      </c>
      <c r="C79" s="15" t="s">
        <v>454</v>
      </c>
      <c r="D79" s="15" t="s">
        <v>455</v>
      </c>
      <c r="E79" s="15">
        <v>1</v>
      </c>
      <c r="F79" s="15"/>
      <c r="G79" s="15"/>
    </row>
    <row r="80" spans="1:7" x14ac:dyDescent="0.2">
      <c r="A80" s="15" t="s">
        <v>101</v>
      </c>
      <c r="B80" s="15" t="s">
        <v>132</v>
      </c>
      <c r="C80" s="15" t="s">
        <v>417</v>
      </c>
      <c r="D80" s="15" t="s">
        <v>418</v>
      </c>
      <c r="E80" s="15" t="s">
        <v>412</v>
      </c>
      <c r="F80" s="15"/>
      <c r="G80" s="15"/>
    </row>
    <row r="81" spans="1:7" x14ac:dyDescent="0.2">
      <c r="A81" s="15" t="s">
        <v>101</v>
      </c>
      <c r="B81" s="15" t="s">
        <v>132</v>
      </c>
      <c r="C81" s="15" t="s">
        <v>425</v>
      </c>
      <c r="D81" s="15" t="s">
        <v>426</v>
      </c>
      <c r="E81" s="15" t="s">
        <v>412</v>
      </c>
      <c r="F81" s="15"/>
      <c r="G81" s="15"/>
    </row>
    <row r="82" spans="1:7" x14ac:dyDescent="0.2">
      <c r="A82" s="15" t="s">
        <v>101</v>
      </c>
      <c r="B82" s="15" t="s">
        <v>132</v>
      </c>
      <c r="C82" s="15" t="s">
        <v>421</v>
      </c>
      <c r="D82" s="15" t="s">
        <v>422</v>
      </c>
      <c r="E82" s="15">
        <v>2</v>
      </c>
      <c r="F82" s="15"/>
      <c r="G82" s="15"/>
    </row>
    <row r="83" spans="1:7" x14ac:dyDescent="0.2">
      <c r="A83" s="15" t="s">
        <v>105</v>
      </c>
      <c r="B83" s="15" t="s">
        <v>132</v>
      </c>
      <c r="C83" s="15" t="s">
        <v>421</v>
      </c>
      <c r="D83" s="15" t="s">
        <v>422</v>
      </c>
      <c r="E83" s="15">
        <v>2</v>
      </c>
      <c r="F83" s="15"/>
      <c r="G83" s="15"/>
    </row>
    <row r="84" spans="1:7" x14ac:dyDescent="0.2">
      <c r="A84" s="15" t="s">
        <v>105</v>
      </c>
      <c r="B84" s="15" t="s">
        <v>132</v>
      </c>
      <c r="C84" s="15" t="s">
        <v>446</v>
      </c>
      <c r="D84" s="15" t="s">
        <v>447</v>
      </c>
      <c r="E84" s="15">
        <v>1</v>
      </c>
      <c r="F84" s="15"/>
      <c r="G84" s="15"/>
    </row>
    <row r="85" spans="1:7" x14ac:dyDescent="0.2">
      <c r="A85" s="15" t="s">
        <v>105</v>
      </c>
      <c r="B85" s="15" t="s">
        <v>132</v>
      </c>
      <c r="C85" s="15" t="s">
        <v>456</v>
      </c>
      <c r="D85" s="15" t="s">
        <v>457</v>
      </c>
      <c r="E85" s="15">
        <v>1</v>
      </c>
      <c r="F85" s="15"/>
      <c r="G85" s="15"/>
    </row>
    <row r="86" spans="1:7" x14ac:dyDescent="0.2">
      <c r="A86" s="15" t="s">
        <v>105</v>
      </c>
      <c r="B86" s="15" t="s">
        <v>132</v>
      </c>
      <c r="C86" s="15" t="s">
        <v>458</v>
      </c>
      <c r="D86" s="15" t="s">
        <v>458</v>
      </c>
      <c r="E86" s="15">
        <v>2</v>
      </c>
      <c r="F86" s="15"/>
      <c r="G86" s="15"/>
    </row>
    <row r="87" spans="1:7" x14ac:dyDescent="0.2">
      <c r="A87" s="15" t="s">
        <v>106</v>
      </c>
      <c r="B87" s="15" t="s">
        <v>132</v>
      </c>
      <c r="C87" s="15" t="s">
        <v>386</v>
      </c>
      <c r="D87" s="15" t="s">
        <v>387</v>
      </c>
      <c r="E87" s="15">
        <v>1</v>
      </c>
      <c r="F87" s="15"/>
      <c r="G87" s="15"/>
    </row>
    <row r="88" spans="1:7" x14ac:dyDescent="0.2">
      <c r="A88" s="15" t="s">
        <v>106</v>
      </c>
      <c r="B88" s="15" t="s">
        <v>132</v>
      </c>
      <c r="C88" s="15" t="s">
        <v>421</v>
      </c>
      <c r="D88" s="15" t="s">
        <v>422</v>
      </c>
      <c r="E88" s="15">
        <v>2</v>
      </c>
      <c r="F88" s="15"/>
      <c r="G88" s="15"/>
    </row>
    <row r="89" spans="1:7" x14ac:dyDescent="0.2">
      <c r="A89" s="15" t="s">
        <v>106</v>
      </c>
      <c r="B89" s="15" t="s">
        <v>132</v>
      </c>
      <c r="C89" s="15" t="s">
        <v>417</v>
      </c>
      <c r="D89" s="15" t="s">
        <v>418</v>
      </c>
      <c r="E89" s="15">
        <v>1</v>
      </c>
      <c r="F89" s="15"/>
      <c r="G89" s="15"/>
    </row>
    <row r="90" spans="1:7" x14ac:dyDescent="0.2">
      <c r="A90" s="15" t="s">
        <v>106</v>
      </c>
      <c r="B90" s="15" t="s">
        <v>132</v>
      </c>
      <c r="C90" s="15" t="s">
        <v>459</v>
      </c>
      <c r="D90" s="15" t="s">
        <v>459</v>
      </c>
      <c r="E90" s="15">
        <v>2</v>
      </c>
      <c r="F90" s="15"/>
      <c r="G90" s="15"/>
    </row>
    <row r="91" spans="1:7" x14ac:dyDescent="0.2">
      <c r="A91" s="15" t="s">
        <v>106</v>
      </c>
      <c r="B91" s="15" t="s">
        <v>132</v>
      </c>
      <c r="C91" s="15" t="s">
        <v>460</v>
      </c>
      <c r="D91" s="15" t="s">
        <v>461</v>
      </c>
      <c r="E91" s="15">
        <v>1</v>
      </c>
      <c r="F91" s="15"/>
      <c r="G91" s="15"/>
    </row>
    <row r="92" spans="1:7" x14ac:dyDescent="0.2">
      <c r="A92" s="15" t="s">
        <v>107</v>
      </c>
      <c r="B92" s="15" t="s">
        <v>132</v>
      </c>
      <c r="C92" s="15" t="s">
        <v>421</v>
      </c>
      <c r="D92" s="15" t="s">
        <v>422</v>
      </c>
      <c r="E92" s="15">
        <v>2</v>
      </c>
      <c r="F92" s="15"/>
      <c r="G92" s="15"/>
    </row>
    <row r="93" spans="1:7" x14ac:dyDescent="0.2">
      <c r="A93" s="15" t="s">
        <v>107</v>
      </c>
      <c r="B93" s="15" t="s">
        <v>132</v>
      </c>
      <c r="C93" s="15" t="s">
        <v>398</v>
      </c>
      <c r="D93" s="15" t="s">
        <v>399</v>
      </c>
      <c r="E93" s="15">
        <v>2</v>
      </c>
      <c r="F93" s="15"/>
      <c r="G93" s="15"/>
    </row>
    <row r="94" spans="1:7" x14ac:dyDescent="0.2">
      <c r="A94" s="15" t="s">
        <v>107</v>
      </c>
      <c r="B94" s="15" t="s">
        <v>132</v>
      </c>
      <c r="C94" s="15" t="s">
        <v>459</v>
      </c>
      <c r="D94" s="15" t="s">
        <v>459</v>
      </c>
      <c r="E94" s="15">
        <v>2</v>
      </c>
      <c r="F94" s="15"/>
      <c r="G94" s="15"/>
    </row>
    <row r="95" spans="1:7" x14ac:dyDescent="0.2">
      <c r="A95" s="15" t="s">
        <v>107</v>
      </c>
      <c r="B95" s="15" t="s">
        <v>132</v>
      </c>
      <c r="C95" s="15" t="s">
        <v>462</v>
      </c>
      <c r="D95" s="15" t="s">
        <v>463</v>
      </c>
      <c r="E95" s="15">
        <v>1</v>
      </c>
      <c r="F95" s="15"/>
      <c r="G95" s="15"/>
    </row>
    <row r="96" spans="1:7" x14ac:dyDescent="0.2">
      <c r="A96" s="15" t="s">
        <v>107</v>
      </c>
      <c r="B96" s="15" t="s">
        <v>132</v>
      </c>
      <c r="C96" s="15" t="s">
        <v>452</v>
      </c>
      <c r="D96" s="15" t="s">
        <v>453</v>
      </c>
      <c r="E96" s="15">
        <v>1</v>
      </c>
      <c r="F96" s="15"/>
      <c r="G96" s="15"/>
    </row>
    <row r="97" spans="1:7" x14ac:dyDescent="0.2">
      <c r="A97" s="15" t="s">
        <v>107</v>
      </c>
      <c r="B97" s="15" t="s">
        <v>132</v>
      </c>
      <c r="C97" s="15" t="s">
        <v>464</v>
      </c>
      <c r="D97" s="15" t="s">
        <v>465</v>
      </c>
      <c r="E97" s="15">
        <v>2</v>
      </c>
      <c r="F97" s="15"/>
      <c r="G97" s="15"/>
    </row>
    <row r="98" spans="1:7" x14ac:dyDescent="0.2">
      <c r="A98" s="15" t="s">
        <v>107</v>
      </c>
      <c r="B98" s="15" t="s">
        <v>132</v>
      </c>
      <c r="C98" s="15" t="s">
        <v>466</v>
      </c>
      <c r="D98" s="15" t="s">
        <v>467</v>
      </c>
      <c r="E98" s="15">
        <v>2</v>
      </c>
      <c r="F98" s="15"/>
      <c r="G98" s="15"/>
    </row>
    <row r="99" spans="1:7" x14ac:dyDescent="0.2">
      <c r="A99" s="15" t="s">
        <v>107</v>
      </c>
      <c r="B99" s="15" t="s">
        <v>132</v>
      </c>
      <c r="C99" s="15" t="s">
        <v>468</v>
      </c>
      <c r="D99" s="15" t="s">
        <v>469</v>
      </c>
      <c r="E99" s="15">
        <v>1</v>
      </c>
      <c r="F99" s="15"/>
      <c r="G99" s="15"/>
    </row>
    <row r="100" spans="1:7" x14ac:dyDescent="0.2">
      <c r="A100" s="15" t="s">
        <v>107</v>
      </c>
      <c r="B100" s="15" t="s">
        <v>132</v>
      </c>
      <c r="C100" s="15" t="s">
        <v>413</v>
      </c>
      <c r="D100" s="15" t="s">
        <v>414</v>
      </c>
      <c r="E100" s="15" t="s">
        <v>412</v>
      </c>
      <c r="F100" s="15"/>
      <c r="G100" s="15"/>
    </row>
    <row r="101" spans="1:7" x14ac:dyDescent="0.2">
      <c r="A101" s="15" t="s">
        <v>107</v>
      </c>
      <c r="B101" s="15" t="s">
        <v>132</v>
      </c>
      <c r="C101" s="15" t="s">
        <v>406</v>
      </c>
      <c r="D101" s="15" t="s">
        <v>407</v>
      </c>
      <c r="E101" s="15">
        <v>1</v>
      </c>
      <c r="F101" s="15"/>
      <c r="G101" s="15"/>
    </row>
    <row r="102" spans="1:7" x14ac:dyDescent="0.2">
      <c r="A102" s="15" t="s">
        <v>107</v>
      </c>
      <c r="B102" s="15" t="s">
        <v>132</v>
      </c>
      <c r="C102" s="15" t="s">
        <v>386</v>
      </c>
      <c r="D102" s="15" t="s">
        <v>387</v>
      </c>
      <c r="E102" s="15">
        <v>1</v>
      </c>
      <c r="F102" s="15"/>
      <c r="G102" s="15"/>
    </row>
    <row r="103" spans="1:7" x14ac:dyDescent="0.2">
      <c r="A103" s="15" t="s">
        <v>107</v>
      </c>
      <c r="B103" s="15" t="s">
        <v>132</v>
      </c>
      <c r="C103" s="15" t="s">
        <v>470</v>
      </c>
      <c r="D103" s="15" t="s">
        <v>471</v>
      </c>
      <c r="E103" s="15">
        <v>1</v>
      </c>
      <c r="F103" s="15"/>
      <c r="G103" s="15"/>
    </row>
    <row r="104" spans="1:7" x14ac:dyDescent="0.2">
      <c r="A104" s="15" t="s">
        <v>107</v>
      </c>
      <c r="B104" s="15" t="s">
        <v>132</v>
      </c>
      <c r="C104" s="15" t="s">
        <v>472</v>
      </c>
      <c r="D104" s="15" t="s">
        <v>473</v>
      </c>
      <c r="E104" s="15">
        <v>1</v>
      </c>
      <c r="F104" s="15"/>
      <c r="G104" s="15"/>
    </row>
    <row r="105" spans="1:7" x14ac:dyDescent="0.2">
      <c r="A105" s="15" t="s">
        <v>107</v>
      </c>
      <c r="B105" s="15" t="s">
        <v>132</v>
      </c>
      <c r="C105" s="15" t="s">
        <v>474</v>
      </c>
      <c r="D105" s="15" t="s">
        <v>475</v>
      </c>
      <c r="E105" s="15">
        <v>1</v>
      </c>
      <c r="F105" s="15"/>
      <c r="G105" s="15"/>
    </row>
    <row r="106" spans="1:7" x14ac:dyDescent="0.2">
      <c r="A106" s="15" t="s">
        <v>107</v>
      </c>
      <c r="B106" s="15" t="s">
        <v>132</v>
      </c>
      <c r="C106" s="15" t="s">
        <v>476</v>
      </c>
      <c r="D106" s="15" t="s">
        <v>477</v>
      </c>
      <c r="E106" s="15">
        <v>1</v>
      </c>
      <c r="F106" s="15"/>
      <c r="G106" s="15"/>
    </row>
    <row r="107" spans="1:7" x14ac:dyDescent="0.2">
      <c r="A107" s="15" t="s">
        <v>107</v>
      </c>
      <c r="B107" s="15" t="s">
        <v>132</v>
      </c>
      <c r="C107" s="15" t="s">
        <v>440</v>
      </c>
      <c r="D107" s="15" t="s">
        <v>441</v>
      </c>
      <c r="E107" s="15" t="s">
        <v>412</v>
      </c>
      <c r="F107" s="15"/>
      <c r="G107" s="15"/>
    </row>
    <row r="108" spans="1:7" x14ac:dyDescent="0.2">
      <c r="A108" s="15" t="s">
        <v>109</v>
      </c>
      <c r="B108" s="15" t="s">
        <v>132</v>
      </c>
      <c r="C108" s="15" t="s">
        <v>478</v>
      </c>
      <c r="D108" s="15" t="s">
        <v>479</v>
      </c>
      <c r="E108" s="15">
        <v>2</v>
      </c>
      <c r="F108" s="15"/>
      <c r="G108" s="15"/>
    </row>
    <row r="109" spans="1:7" x14ac:dyDescent="0.2">
      <c r="A109" s="15" t="s">
        <v>109</v>
      </c>
      <c r="B109" s="15" t="s">
        <v>132</v>
      </c>
      <c r="C109" s="15" t="s">
        <v>458</v>
      </c>
      <c r="D109" s="15" t="s">
        <v>458</v>
      </c>
      <c r="E109" s="15">
        <v>4</v>
      </c>
      <c r="F109" s="15"/>
      <c r="G109" s="15"/>
    </row>
    <row r="110" spans="1:7" x14ac:dyDescent="0.2">
      <c r="A110" s="15" t="s">
        <v>109</v>
      </c>
      <c r="B110" s="15" t="s">
        <v>132</v>
      </c>
      <c r="C110" s="15" t="s">
        <v>459</v>
      </c>
      <c r="D110" s="15" t="s">
        <v>459</v>
      </c>
      <c r="E110" s="15">
        <v>2</v>
      </c>
      <c r="F110" s="15"/>
      <c r="G110" s="15"/>
    </row>
    <row r="111" spans="1:7" x14ac:dyDescent="0.2">
      <c r="A111" s="15" t="s">
        <v>109</v>
      </c>
      <c r="B111" s="15" t="s">
        <v>132</v>
      </c>
      <c r="C111" s="15" t="s">
        <v>454</v>
      </c>
      <c r="D111" s="15" t="s">
        <v>455</v>
      </c>
      <c r="E111" s="15">
        <v>2</v>
      </c>
      <c r="F111" s="15"/>
      <c r="G111" s="15"/>
    </row>
    <row r="112" spans="1:7" x14ac:dyDescent="0.2">
      <c r="A112" s="15" t="s">
        <v>109</v>
      </c>
      <c r="B112" s="15" t="s">
        <v>132</v>
      </c>
      <c r="C112" s="15" t="s">
        <v>386</v>
      </c>
      <c r="D112" s="15" t="s">
        <v>387</v>
      </c>
      <c r="E112" s="15">
        <v>2</v>
      </c>
      <c r="F112" s="15"/>
      <c r="G112" s="15"/>
    </row>
    <row r="113" spans="1:7" x14ac:dyDescent="0.2">
      <c r="A113" s="15" t="s">
        <v>111</v>
      </c>
      <c r="B113" s="15" t="s">
        <v>132</v>
      </c>
      <c r="C113" s="15" t="s">
        <v>459</v>
      </c>
      <c r="D113" s="15" t="s">
        <v>459</v>
      </c>
      <c r="E113" s="15">
        <v>2</v>
      </c>
      <c r="F113" s="15"/>
      <c r="G113" s="15"/>
    </row>
    <row r="114" spans="1:7" x14ac:dyDescent="0.2">
      <c r="A114" s="15" t="s">
        <v>111</v>
      </c>
      <c r="B114" s="15" t="s">
        <v>132</v>
      </c>
      <c r="C114" s="15" t="s">
        <v>421</v>
      </c>
      <c r="D114" s="15" t="s">
        <v>422</v>
      </c>
      <c r="E114" s="15">
        <v>1</v>
      </c>
      <c r="F114" s="15"/>
      <c r="G114" s="15"/>
    </row>
    <row r="115" spans="1:7" x14ac:dyDescent="0.2">
      <c r="A115" s="15" t="s">
        <v>111</v>
      </c>
      <c r="B115" s="15" t="s">
        <v>132</v>
      </c>
      <c r="C115" s="15" t="s">
        <v>417</v>
      </c>
      <c r="D115" s="15" t="s">
        <v>418</v>
      </c>
      <c r="E115" s="15">
        <v>2</v>
      </c>
      <c r="F115" s="15"/>
      <c r="G115" s="15"/>
    </row>
    <row r="116" spans="1:7" x14ac:dyDescent="0.2">
      <c r="A116" s="15" t="s">
        <v>111</v>
      </c>
      <c r="B116" s="15" t="s">
        <v>132</v>
      </c>
      <c r="C116" s="15" t="s">
        <v>398</v>
      </c>
      <c r="D116" s="15" t="s">
        <v>399</v>
      </c>
      <c r="E116" s="15">
        <v>4</v>
      </c>
      <c r="F116" s="15"/>
      <c r="G116" s="15"/>
    </row>
    <row r="117" spans="1:7" x14ac:dyDescent="0.2">
      <c r="A117" s="15" t="s">
        <v>111</v>
      </c>
      <c r="B117" s="15" t="s">
        <v>132</v>
      </c>
      <c r="C117" s="15" t="s">
        <v>390</v>
      </c>
      <c r="D117" s="15" t="s">
        <v>391</v>
      </c>
      <c r="E117" s="15">
        <v>1</v>
      </c>
      <c r="F117" s="15"/>
      <c r="G117" s="15"/>
    </row>
    <row r="118" spans="1:7" x14ac:dyDescent="0.2">
      <c r="A118" s="15" t="s">
        <v>112</v>
      </c>
      <c r="B118" s="15" t="s">
        <v>132</v>
      </c>
      <c r="C118" s="15" t="s">
        <v>406</v>
      </c>
      <c r="D118" s="15" t="s">
        <v>407</v>
      </c>
      <c r="E118" s="15">
        <v>2</v>
      </c>
      <c r="F118" s="15"/>
      <c r="G118" s="15"/>
    </row>
    <row r="119" spans="1:7" x14ac:dyDescent="0.2">
      <c r="A119" s="15" t="s">
        <v>112</v>
      </c>
      <c r="B119" s="15" t="s">
        <v>132</v>
      </c>
      <c r="C119" s="15" t="s">
        <v>388</v>
      </c>
      <c r="D119" s="15" t="s">
        <v>389</v>
      </c>
      <c r="E119" s="15">
        <v>1</v>
      </c>
      <c r="F119" s="15"/>
      <c r="G119" s="15"/>
    </row>
    <row r="120" spans="1:7" x14ac:dyDescent="0.2">
      <c r="A120" s="15" t="s">
        <v>112</v>
      </c>
      <c r="B120" s="15" t="s">
        <v>132</v>
      </c>
      <c r="C120" s="15" t="s">
        <v>398</v>
      </c>
      <c r="D120" s="15" t="s">
        <v>399</v>
      </c>
      <c r="E120" s="15">
        <v>3</v>
      </c>
      <c r="F120" s="15"/>
      <c r="G120" s="15"/>
    </row>
    <row r="121" spans="1:7" x14ac:dyDescent="0.2">
      <c r="A121" s="15" t="s">
        <v>112</v>
      </c>
      <c r="B121" s="15" t="s">
        <v>132</v>
      </c>
      <c r="C121" s="15" t="s">
        <v>396</v>
      </c>
      <c r="D121" s="15" t="s">
        <v>397</v>
      </c>
      <c r="E121" s="15">
        <v>2</v>
      </c>
      <c r="F121" s="15"/>
      <c r="G121" s="15"/>
    </row>
    <row r="122" spans="1:7" x14ac:dyDescent="0.2">
      <c r="A122" s="15" t="s">
        <v>112</v>
      </c>
      <c r="B122" s="15" t="s">
        <v>132</v>
      </c>
      <c r="C122" s="15" t="s">
        <v>413</v>
      </c>
      <c r="D122" s="15" t="s">
        <v>414</v>
      </c>
      <c r="E122" s="15">
        <v>1</v>
      </c>
      <c r="F122" s="15"/>
      <c r="G122" s="15"/>
    </row>
    <row r="123" spans="1:7" x14ac:dyDescent="0.2">
      <c r="A123" s="15" t="s">
        <v>112</v>
      </c>
      <c r="B123" s="15" t="s">
        <v>132</v>
      </c>
      <c r="C123" s="15" t="s">
        <v>452</v>
      </c>
      <c r="D123" s="15" t="s">
        <v>453</v>
      </c>
      <c r="E123" s="15">
        <v>2</v>
      </c>
      <c r="F123" s="15"/>
      <c r="G123" s="15"/>
    </row>
    <row r="124" spans="1:7" x14ac:dyDescent="0.2">
      <c r="A124" s="15" t="s">
        <v>112</v>
      </c>
      <c r="B124" s="15" t="s">
        <v>132</v>
      </c>
      <c r="C124" s="15" t="s">
        <v>446</v>
      </c>
      <c r="D124" s="15" t="s">
        <v>447</v>
      </c>
      <c r="E124" s="15">
        <v>2</v>
      </c>
      <c r="F124" s="15"/>
      <c r="G124" s="15"/>
    </row>
    <row r="125" spans="1:7" x14ac:dyDescent="0.2">
      <c r="A125" s="15" t="s">
        <v>112</v>
      </c>
      <c r="B125" s="15" t="s">
        <v>132</v>
      </c>
      <c r="C125" s="15" t="s">
        <v>384</v>
      </c>
      <c r="D125" s="15" t="s">
        <v>385</v>
      </c>
      <c r="E125" s="15">
        <v>1</v>
      </c>
      <c r="F125" s="15"/>
      <c r="G125" s="15"/>
    </row>
    <row r="126" spans="1:7" x14ac:dyDescent="0.2">
      <c r="A126" s="15" t="s">
        <v>112</v>
      </c>
      <c r="B126" s="15" t="s">
        <v>132</v>
      </c>
      <c r="C126" s="15" t="s">
        <v>480</v>
      </c>
      <c r="D126" s="15" t="s">
        <v>481</v>
      </c>
      <c r="E126" s="15">
        <v>1</v>
      </c>
      <c r="F126" s="15"/>
      <c r="G126" s="15"/>
    </row>
    <row r="127" spans="1:7" x14ac:dyDescent="0.2">
      <c r="A127" s="15" t="s">
        <v>112</v>
      </c>
      <c r="B127" s="15" t="s">
        <v>132</v>
      </c>
      <c r="C127" s="15" t="s">
        <v>386</v>
      </c>
      <c r="D127" s="15" t="s">
        <v>387</v>
      </c>
      <c r="E127" s="15">
        <v>1</v>
      </c>
      <c r="F127" s="15"/>
      <c r="G127" s="15"/>
    </row>
    <row r="128" spans="1:7" x14ac:dyDescent="0.2">
      <c r="A128" s="15" t="s">
        <v>114</v>
      </c>
      <c r="B128" s="15" t="s">
        <v>132</v>
      </c>
      <c r="C128" s="15" t="s">
        <v>482</v>
      </c>
      <c r="D128" s="15" t="s">
        <v>483</v>
      </c>
      <c r="E128" s="15">
        <v>2</v>
      </c>
      <c r="F128" s="15"/>
      <c r="G128" s="15"/>
    </row>
    <row r="129" spans="1:7" x14ac:dyDescent="0.2">
      <c r="A129" s="15" t="s">
        <v>114</v>
      </c>
      <c r="B129" s="15" t="s">
        <v>132</v>
      </c>
      <c r="C129" s="15" t="s">
        <v>398</v>
      </c>
      <c r="D129" s="15" t="s">
        <v>399</v>
      </c>
      <c r="E129" s="15">
        <v>2</v>
      </c>
      <c r="F129" s="15"/>
      <c r="G129" s="15"/>
    </row>
    <row r="130" spans="1:7" x14ac:dyDescent="0.2">
      <c r="A130" s="15" t="s">
        <v>114</v>
      </c>
      <c r="B130" s="15" t="s">
        <v>132</v>
      </c>
      <c r="C130" s="15" t="s">
        <v>394</v>
      </c>
      <c r="D130" s="15" t="s">
        <v>395</v>
      </c>
      <c r="E130" s="15">
        <v>2</v>
      </c>
      <c r="F130" s="15"/>
      <c r="G130" s="15"/>
    </row>
    <row r="131" spans="1:7" x14ac:dyDescent="0.2">
      <c r="A131" s="15" t="s">
        <v>114</v>
      </c>
      <c r="B131" s="15" t="s">
        <v>132</v>
      </c>
      <c r="C131" s="15" t="s">
        <v>406</v>
      </c>
      <c r="D131" s="15" t="s">
        <v>407</v>
      </c>
      <c r="E131" s="15">
        <v>2</v>
      </c>
      <c r="F131" s="15"/>
      <c r="G131" s="15"/>
    </row>
    <row r="132" spans="1:7" x14ac:dyDescent="0.2">
      <c r="A132" s="15" t="s">
        <v>114</v>
      </c>
      <c r="B132" s="15" t="s">
        <v>132</v>
      </c>
      <c r="C132" s="15" t="s">
        <v>390</v>
      </c>
      <c r="D132" s="15" t="s">
        <v>391</v>
      </c>
      <c r="E132" s="15">
        <v>2</v>
      </c>
      <c r="F132" s="15"/>
      <c r="G132" s="15"/>
    </row>
    <row r="133" spans="1:7" x14ac:dyDescent="0.2">
      <c r="A133" s="15" t="s">
        <v>114</v>
      </c>
      <c r="B133" s="15" t="s">
        <v>132</v>
      </c>
      <c r="C133" s="15" t="s">
        <v>446</v>
      </c>
      <c r="D133" s="15" t="s">
        <v>447</v>
      </c>
      <c r="E133" s="15">
        <v>1</v>
      </c>
      <c r="F133" s="15"/>
      <c r="G133" s="15"/>
    </row>
    <row r="134" spans="1:7" x14ac:dyDescent="0.2">
      <c r="A134" s="15" t="s">
        <v>114</v>
      </c>
      <c r="B134" s="15" t="s">
        <v>132</v>
      </c>
      <c r="C134" s="15" t="s">
        <v>384</v>
      </c>
      <c r="D134" s="15" t="s">
        <v>385</v>
      </c>
      <c r="E134" s="15">
        <v>1</v>
      </c>
      <c r="F134" s="15"/>
      <c r="G134" s="15"/>
    </row>
    <row r="135" spans="1:7" x14ac:dyDescent="0.2">
      <c r="A135" s="15" t="s">
        <v>116</v>
      </c>
      <c r="B135" s="15" t="s">
        <v>132</v>
      </c>
      <c r="C135" s="15" t="s">
        <v>384</v>
      </c>
      <c r="D135" s="15" t="s">
        <v>385</v>
      </c>
      <c r="E135" s="15">
        <v>3</v>
      </c>
      <c r="F135" s="15"/>
      <c r="G135" s="15"/>
    </row>
    <row r="136" spans="1:7" x14ac:dyDescent="0.2">
      <c r="A136" s="15" t="s">
        <v>116</v>
      </c>
      <c r="B136" s="15" t="s">
        <v>132</v>
      </c>
      <c r="C136" s="15" t="s">
        <v>421</v>
      </c>
      <c r="D136" s="15" t="s">
        <v>422</v>
      </c>
      <c r="E136" s="15">
        <v>2</v>
      </c>
      <c r="F136" s="15"/>
      <c r="G136" s="15"/>
    </row>
    <row r="137" spans="1:7" x14ac:dyDescent="0.2">
      <c r="A137" s="15" t="s">
        <v>116</v>
      </c>
      <c r="B137" s="15" t="s">
        <v>132</v>
      </c>
      <c r="C137" s="15" t="s">
        <v>484</v>
      </c>
      <c r="D137" s="15" t="s">
        <v>485</v>
      </c>
      <c r="E137" s="15">
        <v>1</v>
      </c>
      <c r="F137" s="15"/>
      <c r="G137" s="15"/>
    </row>
    <row r="138" spans="1:7" x14ac:dyDescent="0.2">
      <c r="A138" s="15" t="s">
        <v>116</v>
      </c>
      <c r="B138" s="15" t="s">
        <v>132</v>
      </c>
      <c r="C138" s="15" t="s">
        <v>486</v>
      </c>
      <c r="D138" s="15" t="s">
        <v>487</v>
      </c>
      <c r="E138" s="15">
        <v>2</v>
      </c>
      <c r="F138" s="15"/>
      <c r="G138" s="15"/>
    </row>
    <row r="139" spans="1:7" x14ac:dyDescent="0.2">
      <c r="A139" s="15" t="s">
        <v>116</v>
      </c>
      <c r="B139" s="15" t="s">
        <v>132</v>
      </c>
      <c r="C139" s="15" t="s">
        <v>390</v>
      </c>
      <c r="D139" s="15" t="s">
        <v>391</v>
      </c>
      <c r="E139" s="15">
        <v>1</v>
      </c>
      <c r="F139" s="15"/>
      <c r="G139" s="15"/>
    </row>
    <row r="140" spans="1:7" x14ac:dyDescent="0.2">
      <c r="A140" s="15" t="s">
        <v>116</v>
      </c>
      <c r="B140" s="15" t="s">
        <v>132</v>
      </c>
      <c r="C140" s="15" t="s">
        <v>417</v>
      </c>
      <c r="D140" s="15" t="s">
        <v>418</v>
      </c>
      <c r="E140" s="15">
        <v>2</v>
      </c>
      <c r="F140" s="15"/>
      <c r="G140" s="15"/>
    </row>
    <row r="141" spans="1:7" x14ac:dyDescent="0.2">
      <c r="A141" s="15" t="s">
        <v>117</v>
      </c>
      <c r="B141" s="15" t="s">
        <v>132</v>
      </c>
      <c r="C141" s="15" t="s">
        <v>384</v>
      </c>
      <c r="D141" s="15" t="s">
        <v>385</v>
      </c>
      <c r="E141" s="15">
        <v>2</v>
      </c>
      <c r="F141" s="15"/>
      <c r="G141" s="15"/>
    </row>
    <row r="142" spans="1:7" x14ac:dyDescent="0.2">
      <c r="A142" s="15" t="s">
        <v>117</v>
      </c>
      <c r="B142" s="15" t="s">
        <v>132</v>
      </c>
      <c r="C142" s="15" t="s">
        <v>406</v>
      </c>
      <c r="D142" s="15" t="s">
        <v>407</v>
      </c>
      <c r="E142" s="15">
        <v>2</v>
      </c>
      <c r="F142" s="15"/>
      <c r="G142" s="15"/>
    </row>
    <row r="143" spans="1:7" x14ac:dyDescent="0.2">
      <c r="A143" s="15" t="s">
        <v>117</v>
      </c>
      <c r="B143" s="15" t="s">
        <v>132</v>
      </c>
      <c r="C143" s="15" t="s">
        <v>488</v>
      </c>
      <c r="D143" s="15" t="s">
        <v>489</v>
      </c>
      <c r="E143" s="15">
        <v>2</v>
      </c>
      <c r="F143" s="15"/>
      <c r="G143" s="15"/>
    </row>
    <row r="144" spans="1:7" x14ac:dyDescent="0.2">
      <c r="A144" s="15" t="s">
        <v>117</v>
      </c>
      <c r="B144" s="15" t="s">
        <v>132</v>
      </c>
      <c r="C144" s="15" t="s">
        <v>417</v>
      </c>
      <c r="D144" s="15" t="s">
        <v>418</v>
      </c>
      <c r="E144" s="15">
        <v>1</v>
      </c>
      <c r="F144" s="15"/>
      <c r="G144" s="15"/>
    </row>
    <row r="145" spans="1:7" x14ac:dyDescent="0.2">
      <c r="A145" s="15" t="s">
        <v>117</v>
      </c>
      <c r="B145" s="15" t="s">
        <v>132</v>
      </c>
      <c r="C145" s="15" t="s">
        <v>402</v>
      </c>
      <c r="D145" s="15" t="s">
        <v>403</v>
      </c>
      <c r="E145" s="15" t="s">
        <v>412</v>
      </c>
      <c r="F145" s="15"/>
      <c r="G145" s="15"/>
    </row>
    <row r="146" spans="1:7" x14ac:dyDescent="0.2">
      <c r="A146" s="15" t="s">
        <v>117</v>
      </c>
      <c r="B146" s="15" t="s">
        <v>132</v>
      </c>
      <c r="C146" s="15" t="s">
        <v>398</v>
      </c>
      <c r="D146" s="15" t="s">
        <v>399</v>
      </c>
      <c r="E146" s="15">
        <v>3</v>
      </c>
      <c r="F146" s="15"/>
      <c r="G146" s="15"/>
    </row>
    <row r="147" spans="1:7" x14ac:dyDescent="0.2">
      <c r="A147" s="15" t="s">
        <v>117</v>
      </c>
      <c r="B147" s="15" t="s">
        <v>132</v>
      </c>
      <c r="C147" s="15" t="s">
        <v>394</v>
      </c>
      <c r="D147" s="15" t="s">
        <v>395</v>
      </c>
      <c r="E147" s="15">
        <v>2</v>
      </c>
      <c r="F147" s="15"/>
      <c r="G147" s="15"/>
    </row>
    <row r="148" spans="1:7" x14ac:dyDescent="0.2">
      <c r="A148" s="15" t="s">
        <v>119</v>
      </c>
      <c r="B148" s="15" t="s">
        <v>132</v>
      </c>
      <c r="C148" s="15" t="s">
        <v>406</v>
      </c>
      <c r="D148" s="15" t="s">
        <v>407</v>
      </c>
      <c r="E148" s="15">
        <v>3</v>
      </c>
      <c r="F148" s="15"/>
      <c r="G148" s="15"/>
    </row>
    <row r="149" spans="1:7" x14ac:dyDescent="0.2">
      <c r="A149" s="15" t="s">
        <v>119</v>
      </c>
      <c r="B149" s="15" t="s">
        <v>132</v>
      </c>
      <c r="C149" s="15" t="s">
        <v>398</v>
      </c>
      <c r="D149" s="15" t="s">
        <v>399</v>
      </c>
      <c r="E149" s="15">
        <v>2</v>
      </c>
      <c r="F149" s="15"/>
      <c r="G149" s="15"/>
    </row>
    <row r="150" spans="1:7" x14ac:dyDescent="0.2">
      <c r="A150" s="15" t="s">
        <v>119</v>
      </c>
      <c r="B150" s="15" t="s">
        <v>132</v>
      </c>
      <c r="C150" s="15" t="s">
        <v>417</v>
      </c>
      <c r="D150" s="15" t="s">
        <v>418</v>
      </c>
      <c r="E150" s="15">
        <v>2</v>
      </c>
      <c r="F150" s="15"/>
      <c r="G150" s="15"/>
    </row>
    <row r="151" spans="1:7" x14ac:dyDescent="0.2">
      <c r="A151" s="15" t="s">
        <v>119</v>
      </c>
      <c r="B151" s="15" t="s">
        <v>132</v>
      </c>
      <c r="C151" s="15" t="s">
        <v>384</v>
      </c>
      <c r="D151" s="15" t="s">
        <v>385</v>
      </c>
      <c r="E151" s="15">
        <v>2</v>
      </c>
      <c r="F151" s="15"/>
      <c r="G151" s="15"/>
    </row>
    <row r="152" spans="1:7" x14ac:dyDescent="0.2">
      <c r="A152" s="15" t="s">
        <v>119</v>
      </c>
      <c r="B152" s="15" t="s">
        <v>132</v>
      </c>
      <c r="C152" s="15" t="s">
        <v>460</v>
      </c>
      <c r="D152" s="15" t="s">
        <v>461</v>
      </c>
      <c r="E152" s="15">
        <v>3</v>
      </c>
      <c r="F152" s="15"/>
      <c r="G152" s="15"/>
    </row>
    <row r="153" spans="1:7" x14ac:dyDescent="0.2">
      <c r="A153" s="15" t="s">
        <v>119</v>
      </c>
      <c r="B153" s="15" t="s">
        <v>132</v>
      </c>
      <c r="C153" s="15" t="s">
        <v>382</v>
      </c>
      <c r="D153" s="15" t="s">
        <v>383</v>
      </c>
      <c r="E153" s="15">
        <v>1</v>
      </c>
      <c r="F153" s="15"/>
      <c r="G153" s="15"/>
    </row>
    <row r="154" spans="1:7" x14ac:dyDescent="0.2">
      <c r="A154" s="15" t="s">
        <v>119</v>
      </c>
      <c r="B154" s="15" t="s">
        <v>132</v>
      </c>
      <c r="C154" s="15" t="s">
        <v>490</v>
      </c>
      <c r="D154" s="15" t="s">
        <v>491</v>
      </c>
      <c r="E154" s="15">
        <v>1</v>
      </c>
      <c r="F154" s="15"/>
      <c r="G154" s="15"/>
    </row>
    <row r="155" spans="1:7" x14ac:dyDescent="0.2">
      <c r="A155" s="15" t="s">
        <v>120</v>
      </c>
      <c r="B155" s="15" t="s">
        <v>132</v>
      </c>
      <c r="C155" s="15" t="s">
        <v>406</v>
      </c>
      <c r="D155" s="15" t="s">
        <v>407</v>
      </c>
      <c r="E155" s="15">
        <v>2</v>
      </c>
      <c r="F155" s="15"/>
      <c r="G155" s="15"/>
    </row>
    <row r="156" spans="1:7" x14ac:dyDescent="0.2">
      <c r="A156" s="15" t="s">
        <v>120</v>
      </c>
      <c r="B156" s="15" t="s">
        <v>132</v>
      </c>
      <c r="C156" s="15" t="s">
        <v>386</v>
      </c>
      <c r="D156" s="15" t="s">
        <v>387</v>
      </c>
      <c r="E156" s="15">
        <v>2</v>
      </c>
      <c r="F156" s="15"/>
      <c r="G156" s="15"/>
    </row>
    <row r="157" spans="1:7" x14ac:dyDescent="0.2">
      <c r="A157" s="15" t="s">
        <v>120</v>
      </c>
      <c r="B157" s="15" t="s">
        <v>132</v>
      </c>
      <c r="C157" s="15" t="s">
        <v>460</v>
      </c>
      <c r="D157" s="15" t="s">
        <v>461</v>
      </c>
      <c r="E157" s="15">
        <v>2</v>
      </c>
      <c r="F157" s="15"/>
      <c r="G157" s="15"/>
    </row>
    <row r="158" spans="1:7" x14ac:dyDescent="0.2">
      <c r="A158" s="15" t="s">
        <v>120</v>
      </c>
      <c r="B158" s="15" t="s">
        <v>132</v>
      </c>
      <c r="C158" s="15" t="s">
        <v>394</v>
      </c>
      <c r="D158" s="15" t="s">
        <v>395</v>
      </c>
      <c r="E158" s="15">
        <v>2</v>
      </c>
      <c r="F158" s="15"/>
      <c r="G158" s="15"/>
    </row>
    <row r="159" spans="1:7" x14ac:dyDescent="0.2">
      <c r="A159" s="15" t="s">
        <v>120</v>
      </c>
      <c r="B159" s="15" t="s">
        <v>132</v>
      </c>
      <c r="C159" s="15" t="s">
        <v>398</v>
      </c>
      <c r="D159" s="15" t="s">
        <v>399</v>
      </c>
      <c r="E159" s="15">
        <v>2</v>
      </c>
      <c r="F159" s="15"/>
      <c r="G159" s="15"/>
    </row>
    <row r="160" spans="1:7" x14ac:dyDescent="0.2">
      <c r="A160" s="15" t="s">
        <v>120</v>
      </c>
      <c r="B160" s="15" t="s">
        <v>132</v>
      </c>
      <c r="C160" s="15" t="s">
        <v>492</v>
      </c>
      <c r="D160" s="15" t="s">
        <v>493</v>
      </c>
      <c r="E160" s="15">
        <v>4</v>
      </c>
      <c r="F160" s="15"/>
      <c r="G160" s="15"/>
    </row>
    <row r="161" spans="1:7" x14ac:dyDescent="0.2">
      <c r="A161" s="15" t="s">
        <v>120</v>
      </c>
      <c r="B161" s="15" t="s">
        <v>132</v>
      </c>
      <c r="C161" s="15" t="s">
        <v>400</v>
      </c>
      <c r="D161" s="15" t="s">
        <v>401</v>
      </c>
      <c r="E161" s="15">
        <v>1</v>
      </c>
      <c r="F161" s="15"/>
      <c r="G161" s="15"/>
    </row>
    <row r="162" spans="1:7" x14ac:dyDescent="0.2">
      <c r="A162" s="15" t="s">
        <v>120</v>
      </c>
      <c r="B162" s="15" t="s">
        <v>132</v>
      </c>
      <c r="C162" s="15" t="s">
        <v>438</v>
      </c>
      <c r="D162" s="15" t="s">
        <v>439</v>
      </c>
      <c r="E162" s="15" t="s">
        <v>412</v>
      </c>
      <c r="F162" s="15"/>
      <c r="G162" s="15"/>
    </row>
    <row r="163" spans="1:7" x14ac:dyDescent="0.2">
      <c r="A163" s="15" t="s">
        <v>122</v>
      </c>
      <c r="B163" s="15" t="s">
        <v>132</v>
      </c>
      <c r="C163" s="15" t="s">
        <v>460</v>
      </c>
      <c r="D163" s="15" t="s">
        <v>461</v>
      </c>
      <c r="E163" s="15">
        <v>2</v>
      </c>
      <c r="F163" s="15"/>
      <c r="G163" s="15"/>
    </row>
    <row r="164" spans="1:7" x14ac:dyDescent="0.2">
      <c r="A164" s="15" t="s">
        <v>122</v>
      </c>
      <c r="B164" s="15" t="s">
        <v>132</v>
      </c>
      <c r="C164" s="15" t="s">
        <v>494</v>
      </c>
      <c r="D164" s="15" t="s">
        <v>494</v>
      </c>
      <c r="E164" s="15">
        <v>3</v>
      </c>
      <c r="F164" s="15"/>
      <c r="G164" s="15"/>
    </row>
    <row r="165" spans="1:7" x14ac:dyDescent="0.2">
      <c r="A165" s="15" t="s">
        <v>122</v>
      </c>
      <c r="B165" s="15" t="s">
        <v>132</v>
      </c>
      <c r="C165" s="15" t="s">
        <v>488</v>
      </c>
      <c r="D165" s="15" t="s">
        <v>489</v>
      </c>
      <c r="E165" s="15">
        <v>2</v>
      </c>
      <c r="F165" s="15"/>
      <c r="G165" s="15"/>
    </row>
    <row r="166" spans="1:7" x14ac:dyDescent="0.2">
      <c r="A166" s="15" t="s">
        <v>122</v>
      </c>
      <c r="B166" s="15" t="s">
        <v>132</v>
      </c>
      <c r="C166" s="15" t="s">
        <v>384</v>
      </c>
      <c r="D166" s="15" t="s">
        <v>385</v>
      </c>
      <c r="E166" s="15">
        <v>2</v>
      </c>
      <c r="F166" s="15"/>
      <c r="G166" s="15"/>
    </row>
    <row r="167" spans="1:7" x14ac:dyDescent="0.2">
      <c r="A167" s="15" t="s">
        <v>122</v>
      </c>
      <c r="B167" s="15" t="s">
        <v>132</v>
      </c>
      <c r="C167" s="15" t="s">
        <v>382</v>
      </c>
      <c r="D167" s="15" t="s">
        <v>383</v>
      </c>
      <c r="E167" s="15">
        <v>1</v>
      </c>
      <c r="F167" s="15"/>
      <c r="G167" s="15"/>
    </row>
    <row r="168" spans="1:7" x14ac:dyDescent="0.2">
      <c r="A168" s="15" t="s">
        <v>122</v>
      </c>
      <c r="B168" s="15" t="s">
        <v>132</v>
      </c>
      <c r="C168" s="15" t="s">
        <v>454</v>
      </c>
      <c r="D168" s="15" t="s">
        <v>455</v>
      </c>
      <c r="E168" s="15">
        <v>1</v>
      </c>
      <c r="F168" s="15"/>
      <c r="G168" s="15"/>
    </row>
    <row r="169" spans="1:7" x14ac:dyDescent="0.2">
      <c r="A169" s="15" t="s">
        <v>122</v>
      </c>
      <c r="B169" s="15" t="s">
        <v>132</v>
      </c>
      <c r="C169" s="15" t="s">
        <v>446</v>
      </c>
      <c r="D169" s="15" t="s">
        <v>447</v>
      </c>
      <c r="E169" s="15">
        <v>1</v>
      </c>
      <c r="F169" s="15"/>
      <c r="G169" s="15"/>
    </row>
    <row r="170" spans="1:7" x14ac:dyDescent="0.2">
      <c r="A170" s="15" t="s">
        <v>122</v>
      </c>
      <c r="B170" s="15" t="s">
        <v>132</v>
      </c>
      <c r="C170" s="15" t="s">
        <v>406</v>
      </c>
      <c r="D170" s="15" t="s">
        <v>407</v>
      </c>
      <c r="E170" s="15">
        <v>2</v>
      </c>
      <c r="F170" s="15"/>
      <c r="G170" s="15"/>
    </row>
    <row r="171" spans="1:7" x14ac:dyDescent="0.2">
      <c r="A171" s="15" t="s">
        <v>122</v>
      </c>
      <c r="B171" s="15" t="s">
        <v>132</v>
      </c>
      <c r="C171" s="15" t="s">
        <v>386</v>
      </c>
      <c r="D171" s="15" t="s">
        <v>387</v>
      </c>
      <c r="E171" s="15">
        <v>2</v>
      </c>
      <c r="F171" s="15"/>
      <c r="G171" s="15"/>
    </row>
    <row r="172" spans="1:7" x14ac:dyDescent="0.2">
      <c r="A172" s="15" t="s">
        <v>122</v>
      </c>
      <c r="B172" s="15" t="s">
        <v>132</v>
      </c>
      <c r="C172" s="15" t="s">
        <v>444</v>
      </c>
      <c r="D172" s="15" t="s">
        <v>445</v>
      </c>
      <c r="E172" s="15">
        <v>2</v>
      </c>
      <c r="F172" s="15"/>
      <c r="G172" s="15"/>
    </row>
    <row r="173" spans="1:7" x14ac:dyDescent="0.2">
      <c r="A173" s="15" t="s">
        <v>122</v>
      </c>
      <c r="B173" s="15" t="s">
        <v>132</v>
      </c>
      <c r="C173" s="15" t="s">
        <v>398</v>
      </c>
      <c r="D173" s="15" t="s">
        <v>399</v>
      </c>
      <c r="E173" s="15">
        <v>1</v>
      </c>
      <c r="F173" s="15"/>
      <c r="G173" s="15"/>
    </row>
    <row r="174" spans="1:7" x14ac:dyDescent="0.2">
      <c r="A174" s="15" t="s">
        <v>123</v>
      </c>
      <c r="B174" s="15" t="s">
        <v>132</v>
      </c>
      <c r="C174" s="15" t="s">
        <v>406</v>
      </c>
      <c r="D174" s="15" t="s">
        <v>407</v>
      </c>
      <c r="E174" s="15">
        <v>3</v>
      </c>
      <c r="F174" s="15"/>
      <c r="G174" s="15"/>
    </row>
    <row r="175" spans="1:7" x14ac:dyDescent="0.2">
      <c r="A175" s="15" t="s">
        <v>123</v>
      </c>
      <c r="B175" s="15" t="s">
        <v>132</v>
      </c>
      <c r="C175" s="15" t="s">
        <v>384</v>
      </c>
      <c r="D175" s="15" t="s">
        <v>385</v>
      </c>
      <c r="E175" s="15">
        <v>2</v>
      </c>
      <c r="F175" s="15"/>
      <c r="G175" s="15"/>
    </row>
    <row r="176" spans="1:7" x14ac:dyDescent="0.2">
      <c r="A176" s="15" t="s">
        <v>123</v>
      </c>
      <c r="B176" s="15" t="s">
        <v>132</v>
      </c>
      <c r="C176" s="15" t="s">
        <v>398</v>
      </c>
      <c r="D176" s="15" t="s">
        <v>399</v>
      </c>
      <c r="E176" s="15">
        <v>2</v>
      </c>
      <c r="F176" s="15"/>
      <c r="G176" s="15"/>
    </row>
    <row r="177" spans="1:7" x14ac:dyDescent="0.2">
      <c r="A177" s="15" t="s">
        <v>123</v>
      </c>
      <c r="B177" s="15" t="s">
        <v>132</v>
      </c>
      <c r="C177" s="15" t="s">
        <v>466</v>
      </c>
      <c r="D177" s="15" t="s">
        <v>467</v>
      </c>
      <c r="E177" s="15">
        <v>1</v>
      </c>
      <c r="F177" s="15"/>
      <c r="G177" s="15"/>
    </row>
    <row r="178" spans="1:7" x14ac:dyDescent="0.2">
      <c r="A178" s="15" t="s">
        <v>123</v>
      </c>
      <c r="B178" s="15" t="s">
        <v>132</v>
      </c>
      <c r="C178" s="15" t="s">
        <v>495</v>
      </c>
      <c r="D178" s="15" t="s">
        <v>496</v>
      </c>
      <c r="E178" s="15" t="s">
        <v>412</v>
      </c>
      <c r="F178" s="15"/>
      <c r="G178" s="15"/>
    </row>
    <row r="179" spans="1:7" x14ac:dyDescent="0.2">
      <c r="A179" s="15" t="s">
        <v>123</v>
      </c>
      <c r="B179" s="15" t="s">
        <v>132</v>
      </c>
      <c r="C179" s="15" t="s">
        <v>452</v>
      </c>
      <c r="D179" s="15" t="s">
        <v>453</v>
      </c>
      <c r="E179" s="15">
        <v>1</v>
      </c>
      <c r="F179" s="15"/>
      <c r="G179" s="15"/>
    </row>
    <row r="180" spans="1:7" x14ac:dyDescent="0.2">
      <c r="A180" s="15" t="s">
        <v>123</v>
      </c>
      <c r="B180" s="15" t="s">
        <v>132</v>
      </c>
      <c r="C180" s="15" t="s">
        <v>417</v>
      </c>
      <c r="D180" s="15" t="s">
        <v>418</v>
      </c>
      <c r="E180" s="15">
        <v>1</v>
      </c>
      <c r="F180" s="15"/>
      <c r="G180" s="15"/>
    </row>
    <row r="181" spans="1:7" x14ac:dyDescent="0.2">
      <c r="A181" s="15" t="s">
        <v>123</v>
      </c>
      <c r="B181" s="15" t="s">
        <v>132</v>
      </c>
      <c r="C181" s="15" t="s">
        <v>488</v>
      </c>
      <c r="D181" s="15" t="s">
        <v>489</v>
      </c>
      <c r="E181" s="15">
        <v>1</v>
      </c>
      <c r="F181" s="15"/>
      <c r="G181" s="15"/>
    </row>
    <row r="182" spans="1:7" x14ac:dyDescent="0.2">
      <c r="A182" s="15" t="s">
        <v>123</v>
      </c>
      <c r="B182" s="15" t="s">
        <v>132</v>
      </c>
      <c r="C182" s="15" t="s">
        <v>421</v>
      </c>
      <c r="D182" s="15" t="s">
        <v>422</v>
      </c>
      <c r="E182" s="15">
        <v>2</v>
      </c>
      <c r="F182" s="15"/>
      <c r="G182" s="15"/>
    </row>
    <row r="183" spans="1:7" x14ac:dyDescent="0.2">
      <c r="A183" s="15" t="s">
        <v>123</v>
      </c>
      <c r="B183" s="15" t="s">
        <v>132</v>
      </c>
      <c r="C183" s="15" t="s">
        <v>494</v>
      </c>
      <c r="D183" s="15" t="s">
        <v>494</v>
      </c>
      <c r="E183" s="15">
        <v>2</v>
      </c>
      <c r="F183" s="15"/>
      <c r="G183" s="15"/>
    </row>
    <row r="184" spans="1:7" x14ac:dyDescent="0.2">
      <c r="A184" s="15" t="s">
        <v>123</v>
      </c>
      <c r="B184" s="15" t="s">
        <v>132</v>
      </c>
      <c r="C184" s="15" t="s">
        <v>460</v>
      </c>
      <c r="D184" s="15" t="s">
        <v>461</v>
      </c>
      <c r="E184" s="15">
        <v>1</v>
      </c>
      <c r="F184" s="15"/>
      <c r="G184" s="15"/>
    </row>
    <row r="185" spans="1:7" x14ac:dyDescent="0.2">
      <c r="A185" s="15" t="s">
        <v>125</v>
      </c>
      <c r="B185" s="15" t="s">
        <v>132</v>
      </c>
      <c r="C185" s="15" t="s">
        <v>406</v>
      </c>
      <c r="D185" s="15" t="s">
        <v>407</v>
      </c>
      <c r="E185" s="15">
        <v>2</v>
      </c>
      <c r="F185" s="15"/>
      <c r="G185" s="15"/>
    </row>
    <row r="186" spans="1:7" x14ac:dyDescent="0.2">
      <c r="A186" s="15" t="s">
        <v>125</v>
      </c>
      <c r="B186" s="15" t="s">
        <v>132</v>
      </c>
      <c r="C186" s="15" t="s">
        <v>398</v>
      </c>
      <c r="D186" s="15" t="s">
        <v>399</v>
      </c>
      <c r="E186" s="15">
        <v>4</v>
      </c>
      <c r="F186" s="15"/>
      <c r="G186" s="15"/>
    </row>
    <row r="187" spans="1:7" x14ac:dyDescent="0.2">
      <c r="A187" s="15" t="s">
        <v>125</v>
      </c>
      <c r="B187" s="15" t="s">
        <v>132</v>
      </c>
      <c r="C187" s="15" t="s">
        <v>404</v>
      </c>
      <c r="D187" s="15" t="s">
        <v>405</v>
      </c>
      <c r="E187" s="15">
        <v>1</v>
      </c>
      <c r="F187" s="15"/>
      <c r="G187" s="15"/>
    </row>
    <row r="188" spans="1:7" x14ac:dyDescent="0.2">
      <c r="A188" s="15" t="s">
        <v>125</v>
      </c>
      <c r="B188" s="15" t="s">
        <v>132</v>
      </c>
      <c r="C188" s="15" t="s">
        <v>490</v>
      </c>
      <c r="D188" s="15" t="s">
        <v>491</v>
      </c>
      <c r="E188" s="15">
        <v>1</v>
      </c>
      <c r="F188" s="15"/>
      <c r="G188" s="15"/>
    </row>
    <row r="189" spans="1:7" x14ac:dyDescent="0.2">
      <c r="A189" s="15" t="s">
        <v>125</v>
      </c>
      <c r="B189" s="15" t="s">
        <v>132</v>
      </c>
      <c r="C189" s="15" t="s">
        <v>417</v>
      </c>
      <c r="D189" s="15" t="s">
        <v>418</v>
      </c>
      <c r="E189" s="15">
        <v>1</v>
      </c>
      <c r="F189" s="15"/>
      <c r="G189" s="15"/>
    </row>
    <row r="190" spans="1:7" x14ac:dyDescent="0.2">
      <c r="A190" s="15" t="s">
        <v>125</v>
      </c>
      <c r="B190" s="15" t="s">
        <v>132</v>
      </c>
      <c r="C190" s="15" t="s">
        <v>497</v>
      </c>
      <c r="D190" s="15" t="s">
        <v>497</v>
      </c>
      <c r="E190" s="15">
        <v>1</v>
      </c>
      <c r="F190" s="15"/>
      <c r="G190" s="15"/>
    </row>
    <row r="191" spans="1:7" x14ac:dyDescent="0.2">
      <c r="A191" s="15" t="s">
        <v>126</v>
      </c>
      <c r="B191" s="15" t="s">
        <v>132</v>
      </c>
      <c r="C191" s="15" t="s">
        <v>406</v>
      </c>
      <c r="D191" s="15" t="s">
        <v>407</v>
      </c>
      <c r="E191" s="15">
        <v>2</v>
      </c>
      <c r="F191" s="15"/>
      <c r="G191" s="15"/>
    </row>
    <row r="192" spans="1:7" x14ac:dyDescent="0.2">
      <c r="A192" s="15" t="s">
        <v>126</v>
      </c>
      <c r="B192" s="15" t="s">
        <v>132</v>
      </c>
      <c r="C192" s="15" t="s">
        <v>386</v>
      </c>
      <c r="D192" s="15" t="s">
        <v>387</v>
      </c>
      <c r="E192" s="15">
        <v>2</v>
      </c>
      <c r="F192" s="15"/>
      <c r="G192" s="15"/>
    </row>
    <row r="193" spans="1:7" x14ac:dyDescent="0.2">
      <c r="A193" s="15" t="s">
        <v>126</v>
      </c>
      <c r="B193" s="15" t="s">
        <v>132</v>
      </c>
      <c r="C193" s="15" t="s">
        <v>396</v>
      </c>
      <c r="D193" s="15" t="s">
        <v>397</v>
      </c>
      <c r="E193" s="15">
        <v>2</v>
      </c>
      <c r="F193" s="15"/>
      <c r="G193" s="15"/>
    </row>
    <row r="194" spans="1:7" x14ac:dyDescent="0.2">
      <c r="A194" s="15" t="s">
        <v>126</v>
      </c>
      <c r="B194" s="15" t="s">
        <v>132</v>
      </c>
      <c r="C194" s="15" t="s">
        <v>459</v>
      </c>
      <c r="D194" s="15" t="s">
        <v>459</v>
      </c>
      <c r="E194" s="15">
        <v>3</v>
      </c>
      <c r="F194" s="15"/>
      <c r="G194" s="15"/>
    </row>
    <row r="195" spans="1:7" x14ac:dyDescent="0.2">
      <c r="A195" s="15" t="s">
        <v>126</v>
      </c>
      <c r="B195" s="15" t="s">
        <v>132</v>
      </c>
      <c r="C195" s="15" t="s">
        <v>497</v>
      </c>
      <c r="D195" s="15" t="s">
        <v>497</v>
      </c>
      <c r="E195" s="15">
        <v>2</v>
      </c>
      <c r="F195" s="15"/>
      <c r="G195" s="15"/>
    </row>
    <row r="196" spans="1:7" x14ac:dyDescent="0.2">
      <c r="A196" s="15" t="s">
        <v>126</v>
      </c>
      <c r="B196" s="15" t="s">
        <v>132</v>
      </c>
      <c r="C196" s="15" t="s">
        <v>402</v>
      </c>
      <c r="D196" s="15" t="s">
        <v>403</v>
      </c>
      <c r="E196" s="15">
        <v>1</v>
      </c>
      <c r="F196" s="15"/>
      <c r="G196" s="15"/>
    </row>
    <row r="197" spans="1:7" x14ac:dyDescent="0.2">
      <c r="A197" s="15" t="s">
        <v>126</v>
      </c>
      <c r="B197" s="15" t="s">
        <v>132</v>
      </c>
      <c r="C197" s="15" t="s">
        <v>470</v>
      </c>
      <c r="D197" s="15" t="s">
        <v>471</v>
      </c>
      <c r="E197" s="15">
        <v>2</v>
      </c>
      <c r="F197" s="15"/>
      <c r="G197" s="15"/>
    </row>
    <row r="198" spans="1:7" x14ac:dyDescent="0.2">
      <c r="A198" s="15" t="s">
        <v>126</v>
      </c>
      <c r="B198" s="15" t="s">
        <v>132</v>
      </c>
      <c r="C198" s="15" t="s">
        <v>498</v>
      </c>
      <c r="D198" s="15" t="s">
        <v>499</v>
      </c>
      <c r="E198" s="15">
        <v>1</v>
      </c>
      <c r="F198" s="15"/>
      <c r="G198" s="15"/>
    </row>
    <row r="199" spans="1:7" x14ac:dyDescent="0.2">
      <c r="A199" s="15" t="s">
        <v>126</v>
      </c>
      <c r="B199" s="15" t="s">
        <v>132</v>
      </c>
      <c r="C199" s="15" t="s">
        <v>404</v>
      </c>
      <c r="D199" s="15" t="s">
        <v>405</v>
      </c>
      <c r="E199" s="15">
        <v>1</v>
      </c>
      <c r="F199" s="15"/>
      <c r="G199" s="15"/>
    </row>
    <row r="200" spans="1:7" x14ac:dyDescent="0.2">
      <c r="A200" s="15" t="s">
        <v>126</v>
      </c>
      <c r="B200" s="15" t="s">
        <v>132</v>
      </c>
      <c r="C200" s="15" t="s">
        <v>500</v>
      </c>
      <c r="D200" s="15" t="s">
        <v>477</v>
      </c>
      <c r="E200" s="15">
        <v>1</v>
      </c>
      <c r="F200" s="15"/>
      <c r="G200" s="15"/>
    </row>
    <row r="201" spans="1:7" x14ac:dyDescent="0.2">
      <c r="A201" s="15" t="s">
        <v>127</v>
      </c>
      <c r="B201" s="15" t="s">
        <v>132</v>
      </c>
      <c r="C201" s="15" t="s">
        <v>406</v>
      </c>
      <c r="D201" s="15" t="s">
        <v>407</v>
      </c>
      <c r="E201" s="15">
        <v>2</v>
      </c>
      <c r="F201" s="15"/>
      <c r="G201" s="15"/>
    </row>
    <row r="202" spans="1:7" x14ac:dyDescent="0.2">
      <c r="A202" s="15" t="s">
        <v>127</v>
      </c>
      <c r="B202" s="15" t="s">
        <v>132</v>
      </c>
      <c r="C202" s="15" t="s">
        <v>404</v>
      </c>
      <c r="D202" s="15" t="s">
        <v>405</v>
      </c>
      <c r="E202" s="15">
        <v>2</v>
      </c>
      <c r="F202" s="15"/>
      <c r="G202" s="15"/>
    </row>
    <row r="203" spans="1:7" x14ac:dyDescent="0.2">
      <c r="A203" s="15" t="s">
        <v>127</v>
      </c>
      <c r="B203" s="15" t="s">
        <v>132</v>
      </c>
      <c r="C203" s="15" t="s">
        <v>386</v>
      </c>
      <c r="D203" s="15" t="s">
        <v>387</v>
      </c>
      <c r="E203" s="15">
        <v>2</v>
      </c>
      <c r="F203" s="15"/>
      <c r="G203" s="15"/>
    </row>
    <row r="204" spans="1:7" x14ac:dyDescent="0.2">
      <c r="A204" s="15" t="s">
        <v>127</v>
      </c>
      <c r="B204" s="15" t="s">
        <v>132</v>
      </c>
      <c r="C204" s="15" t="s">
        <v>417</v>
      </c>
      <c r="D204" s="15" t="s">
        <v>418</v>
      </c>
      <c r="E204" s="15">
        <v>2</v>
      </c>
      <c r="F204" s="15"/>
      <c r="G204" s="15"/>
    </row>
    <row r="205" spans="1:7" x14ac:dyDescent="0.2">
      <c r="A205" s="15" t="s">
        <v>127</v>
      </c>
      <c r="B205" s="15" t="s">
        <v>132</v>
      </c>
      <c r="C205" s="15" t="s">
        <v>470</v>
      </c>
      <c r="D205" s="15" t="s">
        <v>471</v>
      </c>
      <c r="E205" s="15">
        <v>2</v>
      </c>
      <c r="F205" s="15"/>
      <c r="G205" s="15"/>
    </row>
    <row r="206" spans="1:7" x14ac:dyDescent="0.2">
      <c r="A206" s="15" t="s">
        <v>127</v>
      </c>
      <c r="B206" s="15" t="s">
        <v>132</v>
      </c>
      <c r="C206" s="15" t="s">
        <v>390</v>
      </c>
      <c r="D206" s="15" t="s">
        <v>391</v>
      </c>
      <c r="E206" s="15">
        <v>1</v>
      </c>
      <c r="F206" s="15"/>
      <c r="G206" s="15"/>
    </row>
    <row r="207" spans="1:7" x14ac:dyDescent="0.2">
      <c r="A207" s="15" t="s">
        <v>127</v>
      </c>
      <c r="B207" s="15" t="s">
        <v>132</v>
      </c>
      <c r="C207" s="15" t="s">
        <v>501</v>
      </c>
      <c r="D207" s="15" t="s">
        <v>502</v>
      </c>
      <c r="E207" s="15">
        <v>1</v>
      </c>
      <c r="F207" s="15"/>
      <c r="G207" s="15"/>
    </row>
    <row r="208" spans="1:7" x14ac:dyDescent="0.2">
      <c r="A208" s="15" t="s">
        <v>127</v>
      </c>
      <c r="B208" s="15" t="s">
        <v>132</v>
      </c>
      <c r="C208" s="15" t="s">
        <v>497</v>
      </c>
      <c r="D208" s="15" t="s">
        <v>497</v>
      </c>
      <c r="E208" s="15">
        <v>1</v>
      </c>
      <c r="F208" s="15"/>
      <c r="G208" s="15"/>
    </row>
    <row r="209" spans="1:7" x14ac:dyDescent="0.2">
      <c r="A209" s="15" t="s">
        <v>127</v>
      </c>
      <c r="B209" s="15" t="s">
        <v>132</v>
      </c>
      <c r="C209" s="15" t="s">
        <v>444</v>
      </c>
      <c r="D209" s="15" t="s">
        <v>445</v>
      </c>
      <c r="E209" s="15">
        <v>1</v>
      </c>
      <c r="F209" s="15"/>
      <c r="G209" s="15"/>
    </row>
    <row r="210" spans="1:7" x14ac:dyDescent="0.2">
      <c r="A210" s="15" t="s">
        <v>128</v>
      </c>
      <c r="B210" s="15" t="s">
        <v>132</v>
      </c>
      <c r="C210" s="15" t="s">
        <v>406</v>
      </c>
      <c r="D210" s="15" t="s">
        <v>407</v>
      </c>
      <c r="E210" s="15">
        <v>2</v>
      </c>
      <c r="F210" s="15"/>
      <c r="G210" s="15"/>
    </row>
    <row r="211" spans="1:7" x14ac:dyDescent="0.2">
      <c r="A211" s="15" t="s">
        <v>128</v>
      </c>
      <c r="B211" s="15" t="s">
        <v>132</v>
      </c>
      <c r="C211" s="15" t="s">
        <v>503</v>
      </c>
      <c r="D211" s="15" t="s">
        <v>503</v>
      </c>
      <c r="E211" s="15">
        <v>3</v>
      </c>
      <c r="F211" s="15"/>
      <c r="G211" s="15"/>
    </row>
    <row r="212" spans="1:7" x14ac:dyDescent="0.2">
      <c r="A212" s="15" t="s">
        <v>128</v>
      </c>
      <c r="B212" s="15" t="s">
        <v>132</v>
      </c>
      <c r="C212" s="15" t="s">
        <v>504</v>
      </c>
      <c r="D212" s="15" t="s">
        <v>505</v>
      </c>
      <c r="E212" s="15">
        <v>2</v>
      </c>
      <c r="F212" s="15"/>
      <c r="G212" s="15"/>
    </row>
    <row r="213" spans="1:7" x14ac:dyDescent="0.2">
      <c r="A213" s="15" t="s">
        <v>128</v>
      </c>
      <c r="B213" s="15" t="s">
        <v>132</v>
      </c>
      <c r="C213" s="15" t="s">
        <v>427</v>
      </c>
      <c r="D213" s="15" t="s">
        <v>428</v>
      </c>
      <c r="E213" s="15">
        <v>1</v>
      </c>
      <c r="F213" s="15"/>
      <c r="G213" s="15"/>
    </row>
    <row r="214" spans="1:7" x14ac:dyDescent="0.2">
      <c r="A214" s="15" t="s">
        <v>128</v>
      </c>
      <c r="B214" s="15" t="s">
        <v>132</v>
      </c>
      <c r="C214" s="15" t="s">
        <v>388</v>
      </c>
      <c r="D214" s="15" t="s">
        <v>389</v>
      </c>
      <c r="E214" s="15">
        <v>2</v>
      </c>
      <c r="F214" s="15"/>
      <c r="G214" s="15"/>
    </row>
    <row r="215" spans="1:7" x14ac:dyDescent="0.2">
      <c r="A215" s="15" t="s">
        <v>128</v>
      </c>
      <c r="B215" s="15" t="s">
        <v>132</v>
      </c>
      <c r="C215" s="15" t="s">
        <v>506</v>
      </c>
      <c r="D215" s="15" t="s">
        <v>507</v>
      </c>
      <c r="E215" s="15">
        <v>1</v>
      </c>
      <c r="F215" s="15"/>
      <c r="G215" s="15"/>
    </row>
    <row r="216" spans="1:7" x14ac:dyDescent="0.2">
      <c r="A216" s="15" t="s">
        <v>128</v>
      </c>
      <c r="B216" s="15" t="s">
        <v>132</v>
      </c>
      <c r="C216" s="15" t="s">
        <v>438</v>
      </c>
      <c r="D216" s="15" t="s">
        <v>439</v>
      </c>
      <c r="E216" s="15">
        <v>1</v>
      </c>
      <c r="F216" s="15"/>
      <c r="G216" s="15"/>
    </row>
    <row r="217" spans="1:7" x14ac:dyDescent="0.2">
      <c r="A217" s="15" t="s">
        <v>128</v>
      </c>
      <c r="B217" s="15" t="s">
        <v>132</v>
      </c>
      <c r="C217" s="15" t="s">
        <v>444</v>
      </c>
      <c r="D217" s="15" t="s">
        <v>445</v>
      </c>
      <c r="E217" s="15">
        <v>2</v>
      </c>
      <c r="F217" s="15"/>
      <c r="G217" s="15"/>
    </row>
    <row r="218" spans="1:7" x14ac:dyDescent="0.2">
      <c r="A218" s="15" t="s">
        <v>128</v>
      </c>
      <c r="B218" s="15" t="s">
        <v>132</v>
      </c>
      <c r="C218" s="15" t="s">
        <v>417</v>
      </c>
      <c r="D218" s="15" t="s">
        <v>418</v>
      </c>
      <c r="E218" s="15">
        <v>2</v>
      </c>
      <c r="F218" s="15"/>
      <c r="G218" s="15"/>
    </row>
    <row r="219" spans="1:7" x14ac:dyDescent="0.2">
      <c r="A219" s="15" t="s">
        <v>128</v>
      </c>
      <c r="B219" s="15" t="s">
        <v>132</v>
      </c>
      <c r="C219" s="15" t="s">
        <v>470</v>
      </c>
      <c r="D219" s="15" t="s">
        <v>471</v>
      </c>
      <c r="E219" s="15">
        <v>1</v>
      </c>
      <c r="F219" s="15"/>
      <c r="G219" s="15"/>
    </row>
    <row r="220" spans="1:7" x14ac:dyDescent="0.2">
      <c r="A220" s="15" t="s">
        <v>128</v>
      </c>
      <c r="B220" s="15" t="s">
        <v>132</v>
      </c>
      <c r="C220" s="15" t="s">
        <v>440</v>
      </c>
      <c r="D220" s="15" t="s">
        <v>441</v>
      </c>
      <c r="E220" s="15">
        <v>1</v>
      </c>
      <c r="F220" s="15"/>
      <c r="G220" s="15"/>
    </row>
    <row r="221" spans="1:7" x14ac:dyDescent="0.2">
      <c r="A221" s="15" t="s">
        <v>129</v>
      </c>
      <c r="B221" s="15" t="s">
        <v>132</v>
      </c>
      <c r="C221" s="15" t="s">
        <v>406</v>
      </c>
      <c r="D221" s="15" t="s">
        <v>407</v>
      </c>
      <c r="E221" s="15">
        <v>2</v>
      </c>
      <c r="F221" s="15"/>
      <c r="G221" s="15"/>
    </row>
    <row r="222" spans="1:7" x14ac:dyDescent="0.2">
      <c r="A222" s="15" t="s">
        <v>129</v>
      </c>
      <c r="B222" s="15" t="s">
        <v>132</v>
      </c>
      <c r="C222" s="15" t="s">
        <v>423</v>
      </c>
      <c r="D222" s="15" t="s">
        <v>424</v>
      </c>
      <c r="E222" s="15">
        <v>2</v>
      </c>
      <c r="F222" s="15"/>
      <c r="G222" s="15"/>
    </row>
    <row r="223" spans="1:7" x14ac:dyDescent="0.2">
      <c r="A223" s="15" t="s">
        <v>129</v>
      </c>
      <c r="B223" s="15" t="s">
        <v>132</v>
      </c>
      <c r="C223" s="15" t="s">
        <v>508</v>
      </c>
      <c r="D223" s="15" t="s">
        <v>509</v>
      </c>
      <c r="E223" s="15">
        <v>1</v>
      </c>
      <c r="F223" s="15"/>
      <c r="G223" s="15"/>
    </row>
    <row r="224" spans="1:7" x14ac:dyDescent="0.2">
      <c r="A224" s="15" t="s">
        <v>129</v>
      </c>
      <c r="B224" s="15" t="s">
        <v>132</v>
      </c>
      <c r="C224" s="15" t="s">
        <v>404</v>
      </c>
      <c r="D224" s="15" t="s">
        <v>405</v>
      </c>
      <c r="E224" s="15">
        <v>1</v>
      </c>
      <c r="F224" s="15"/>
      <c r="G224" s="15"/>
    </row>
    <row r="225" spans="1:7" x14ac:dyDescent="0.2">
      <c r="A225" s="15" t="s">
        <v>129</v>
      </c>
      <c r="B225" s="15" t="s">
        <v>132</v>
      </c>
      <c r="C225" s="15" t="s">
        <v>480</v>
      </c>
      <c r="D225" s="15" t="s">
        <v>481</v>
      </c>
      <c r="E225" s="15" t="s">
        <v>412</v>
      </c>
      <c r="F225" s="15"/>
      <c r="G225" s="15"/>
    </row>
    <row r="226" spans="1:7" x14ac:dyDescent="0.2">
      <c r="A226" s="15" t="s">
        <v>129</v>
      </c>
      <c r="B226" s="15" t="s">
        <v>132</v>
      </c>
      <c r="C226" s="15" t="s">
        <v>417</v>
      </c>
      <c r="D226" s="15" t="s">
        <v>418</v>
      </c>
      <c r="E226" s="15" t="s">
        <v>412</v>
      </c>
      <c r="F226" s="15"/>
      <c r="G226" s="15"/>
    </row>
    <row r="227" spans="1:7" x14ac:dyDescent="0.2">
      <c r="A227" s="15" t="s">
        <v>129</v>
      </c>
      <c r="B227" s="15" t="s">
        <v>132</v>
      </c>
      <c r="C227" s="15" t="s">
        <v>386</v>
      </c>
      <c r="D227" s="15" t="s">
        <v>387</v>
      </c>
      <c r="E227" s="15">
        <v>2</v>
      </c>
      <c r="F227" s="15"/>
      <c r="G227" s="15"/>
    </row>
    <row r="228" spans="1:7" x14ac:dyDescent="0.2">
      <c r="A228" s="15" t="s">
        <v>129</v>
      </c>
      <c r="B228" s="15" t="s">
        <v>132</v>
      </c>
      <c r="C228" s="15" t="s">
        <v>510</v>
      </c>
      <c r="D228" s="15" t="s">
        <v>511</v>
      </c>
      <c r="E228" s="15">
        <v>1</v>
      </c>
      <c r="F228" s="15"/>
      <c r="G228" s="15"/>
    </row>
    <row r="229" spans="1:7" x14ac:dyDescent="0.2">
      <c r="A229" s="15" t="s">
        <v>130</v>
      </c>
      <c r="B229" s="15" t="s">
        <v>132</v>
      </c>
      <c r="C229" s="15" t="s">
        <v>406</v>
      </c>
      <c r="D229" s="15" t="s">
        <v>407</v>
      </c>
      <c r="E229" s="15">
        <v>2</v>
      </c>
      <c r="F229" s="15"/>
      <c r="G229" s="15"/>
    </row>
    <row r="230" spans="1:7" x14ac:dyDescent="0.2">
      <c r="A230" s="15" t="s">
        <v>130</v>
      </c>
      <c r="B230" s="15" t="s">
        <v>132</v>
      </c>
      <c r="C230" s="15" t="s">
        <v>423</v>
      </c>
      <c r="D230" s="15" t="s">
        <v>424</v>
      </c>
      <c r="E230" s="15">
        <v>3</v>
      </c>
      <c r="F230" s="15"/>
      <c r="G230" s="15"/>
    </row>
    <row r="231" spans="1:7" x14ac:dyDescent="0.2">
      <c r="A231" s="15" t="s">
        <v>130</v>
      </c>
      <c r="B231" s="15" t="s">
        <v>132</v>
      </c>
      <c r="C231" s="15" t="s">
        <v>386</v>
      </c>
      <c r="D231" s="15" t="s">
        <v>387</v>
      </c>
      <c r="E231" s="15">
        <v>2</v>
      </c>
      <c r="F231" s="15"/>
      <c r="G231" s="15"/>
    </row>
    <row r="232" spans="1:7" x14ac:dyDescent="0.2">
      <c r="A232" s="15" t="s">
        <v>130</v>
      </c>
      <c r="B232" s="15" t="s">
        <v>132</v>
      </c>
      <c r="C232" s="15" t="s">
        <v>388</v>
      </c>
      <c r="D232" s="15" t="s">
        <v>389</v>
      </c>
      <c r="E232" s="15">
        <v>2</v>
      </c>
      <c r="F232" s="15"/>
      <c r="G232" s="15"/>
    </row>
    <row r="233" spans="1:7" x14ac:dyDescent="0.2">
      <c r="A233" s="15" t="s">
        <v>131</v>
      </c>
      <c r="B233" s="15" t="s">
        <v>132</v>
      </c>
      <c r="C233" s="15" t="s">
        <v>406</v>
      </c>
      <c r="D233" s="15" t="s">
        <v>407</v>
      </c>
      <c r="E233" s="15">
        <v>2</v>
      </c>
      <c r="F233" s="15"/>
      <c r="G233" s="15"/>
    </row>
    <row r="234" spans="1:7" x14ac:dyDescent="0.2">
      <c r="A234" s="15" t="s">
        <v>131</v>
      </c>
      <c r="B234" s="15" t="s">
        <v>132</v>
      </c>
      <c r="C234" s="15" t="s">
        <v>384</v>
      </c>
      <c r="D234" s="15" t="s">
        <v>385</v>
      </c>
      <c r="E234" s="15">
        <v>1</v>
      </c>
      <c r="F234" s="15"/>
      <c r="G234" s="15"/>
    </row>
    <row r="235" spans="1:7" x14ac:dyDescent="0.2">
      <c r="A235" s="15" t="s">
        <v>131</v>
      </c>
      <c r="B235" s="15" t="s">
        <v>132</v>
      </c>
      <c r="C235" s="15" t="s">
        <v>484</v>
      </c>
      <c r="D235" s="15" t="s">
        <v>485</v>
      </c>
      <c r="E235" s="15">
        <v>1</v>
      </c>
      <c r="F235" s="15"/>
      <c r="G235" s="15"/>
    </row>
    <row r="236" spans="1:7" x14ac:dyDescent="0.2">
      <c r="A236" s="15" t="s">
        <v>131</v>
      </c>
      <c r="B236" s="15" t="s">
        <v>132</v>
      </c>
      <c r="C236" s="15" t="s">
        <v>388</v>
      </c>
      <c r="D236" s="15" t="s">
        <v>389</v>
      </c>
      <c r="E236" s="15">
        <v>2</v>
      </c>
      <c r="F236" s="15"/>
      <c r="G236" s="15"/>
    </row>
    <row r="237" spans="1:7" x14ac:dyDescent="0.2">
      <c r="A237" s="15" t="s">
        <v>131</v>
      </c>
      <c r="B237" s="15" t="s">
        <v>132</v>
      </c>
      <c r="C237" s="15" t="s">
        <v>386</v>
      </c>
      <c r="D237" s="15" t="s">
        <v>387</v>
      </c>
      <c r="E237" s="15">
        <v>2</v>
      </c>
      <c r="F237" s="15"/>
      <c r="G237" s="15"/>
    </row>
    <row r="238" spans="1:7" x14ac:dyDescent="0.2">
      <c r="A238" s="15" t="s">
        <v>131</v>
      </c>
      <c r="B238" s="15" t="s">
        <v>132</v>
      </c>
      <c r="C238" s="15" t="s">
        <v>470</v>
      </c>
      <c r="D238" s="15" t="s">
        <v>471</v>
      </c>
      <c r="E238" s="15">
        <v>1</v>
      </c>
      <c r="F238" s="15"/>
      <c r="G238" s="15"/>
    </row>
    <row r="239" spans="1:7" x14ac:dyDescent="0.2">
      <c r="A239" s="15" t="s">
        <v>131</v>
      </c>
      <c r="B239" s="15" t="s">
        <v>132</v>
      </c>
      <c r="C239" s="15" t="s">
        <v>413</v>
      </c>
      <c r="D239" s="15" t="s">
        <v>414</v>
      </c>
      <c r="E239" s="15" t="s">
        <v>412</v>
      </c>
      <c r="F239" s="15"/>
      <c r="G239" s="15"/>
    </row>
    <row r="240" spans="1:7" x14ac:dyDescent="0.2">
      <c r="A240" s="15" t="s">
        <v>131</v>
      </c>
      <c r="B240" s="15" t="s">
        <v>132</v>
      </c>
      <c r="C240" s="15" t="s">
        <v>404</v>
      </c>
      <c r="D240" s="15" t="s">
        <v>405</v>
      </c>
      <c r="E240" s="15">
        <v>1</v>
      </c>
      <c r="F240" s="15"/>
      <c r="G240" s="15"/>
    </row>
    <row r="241" spans="1:7" x14ac:dyDescent="0.2">
      <c r="A241" s="15" t="s">
        <v>131</v>
      </c>
      <c r="B241" s="15" t="s">
        <v>132</v>
      </c>
      <c r="C241" s="15" t="s">
        <v>444</v>
      </c>
      <c r="D241" s="15" t="s">
        <v>445</v>
      </c>
      <c r="E241" s="15">
        <v>2</v>
      </c>
      <c r="F241" s="15"/>
      <c r="G241" s="15"/>
    </row>
    <row r="242" spans="1:7" x14ac:dyDescent="0.2">
      <c r="A242" s="15" t="s">
        <v>131</v>
      </c>
      <c r="B242" s="15" t="s">
        <v>132</v>
      </c>
      <c r="C242" s="15" t="s">
        <v>423</v>
      </c>
      <c r="D242" s="15" t="s">
        <v>424</v>
      </c>
      <c r="E242" s="15">
        <v>3</v>
      </c>
      <c r="F242" s="15"/>
      <c r="G242" s="15"/>
    </row>
    <row r="243" spans="1:7" x14ac:dyDescent="0.2">
      <c r="A243" s="15" t="s">
        <v>72</v>
      </c>
      <c r="B243" s="15" t="s">
        <v>133</v>
      </c>
      <c r="C243" s="15" t="s">
        <v>382</v>
      </c>
      <c r="D243" s="15" t="s">
        <v>383</v>
      </c>
      <c r="E243" s="15">
        <v>2</v>
      </c>
      <c r="F243" s="15"/>
      <c r="G243" s="15"/>
    </row>
    <row r="244" spans="1:7" x14ac:dyDescent="0.2">
      <c r="A244" s="15" t="s">
        <v>72</v>
      </c>
      <c r="B244" s="15" t="s">
        <v>133</v>
      </c>
      <c r="C244" s="15" t="s">
        <v>398</v>
      </c>
      <c r="D244" s="15" t="s">
        <v>399</v>
      </c>
      <c r="E244" s="15">
        <v>3</v>
      </c>
      <c r="F244" s="15"/>
      <c r="G244" s="15"/>
    </row>
    <row r="245" spans="1:7" x14ac:dyDescent="0.2">
      <c r="A245" s="15" t="s">
        <v>72</v>
      </c>
      <c r="B245" s="15" t="s">
        <v>133</v>
      </c>
      <c r="C245" s="15" t="s">
        <v>384</v>
      </c>
      <c r="D245" s="15" t="s">
        <v>385</v>
      </c>
      <c r="E245" s="15">
        <v>1</v>
      </c>
      <c r="F245" s="15"/>
      <c r="G245" s="15"/>
    </row>
    <row r="246" spans="1:7" x14ac:dyDescent="0.2">
      <c r="A246" s="15" t="s">
        <v>72</v>
      </c>
      <c r="B246" s="15" t="s">
        <v>133</v>
      </c>
      <c r="C246" s="15" t="s">
        <v>392</v>
      </c>
      <c r="D246" s="15" t="s">
        <v>393</v>
      </c>
      <c r="E246" s="15" t="s">
        <v>412</v>
      </c>
      <c r="F246" s="15"/>
      <c r="G246" s="15"/>
    </row>
    <row r="247" spans="1:7" x14ac:dyDescent="0.2">
      <c r="A247" s="15" t="s">
        <v>72</v>
      </c>
      <c r="B247" s="15" t="s">
        <v>133</v>
      </c>
      <c r="C247" s="15" t="s">
        <v>390</v>
      </c>
      <c r="D247" s="15" t="s">
        <v>391</v>
      </c>
      <c r="E247" s="15">
        <v>1</v>
      </c>
      <c r="F247" s="15"/>
      <c r="G247" s="15"/>
    </row>
    <row r="248" spans="1:7" x14ac:dyDescent="0.2">
      <c r="A248" s="15" t="s">
        <v>72</v>
      </c>
      <c r="B248" s="15" t="s">
        <v>133</v>
      </c>
      <c r="C248" s="15" t="s">
        <v>386</v>
      </c>
      <c r="D248" s="15" t="s">
        <v>387</v>
      </c>
      <c r="E248" s="15">
        <v>1</v>
      </c>
      <c r="F248" s="15"/>
      <c r="G248" s="15"/>
    </row>
    <row r="249" spans="1:7" x14ac:dyDescent="0.2">
      <c r="A249" s="15" t="s">
        <v>72</v>
      </c>
      <c r="B249" s="15" t="s">
        <v>133</v>
      </c>
      <c r="C249" s="15" t="s">
        <v>419</v>
      </c>
      <c r="D249" s="15" t="s">
        <v>420</v>
      </c>
      <c r="E249" s="15">
        <v>2</v>
      </c>
      <c r="F249" s="15"/>
      <c r="G249" s="15"/>
    </row>
    <row r="250" spans="1:7" x14ac:dyDescent="0.2">
      <c r="A250" s="15" t="s">
        <v>72</v>
      </c>
      <c r="B250" s="15" t="s">
        <v>133</v>
      </c>
      <c r="C250" s="15" t="s">
        <v>388</v>
      </c>
      <c r="D250" s="15" t="s">
        <v>389</v>
      </c>
      <c r="E250" s="15" t="s">
        <v>412</v>
      </c>
      <c r="F250" s="15"/>
      <c r="G250" s="15"/>
    </row>
    <row r="251" spans="1:7" x14ac:dyDescent="0.2">
      <c r="A251" s="15" t="s">
        <v>78</v>
      </c>
      <c r="B251" s="15" t="s">
        <v>133</v>
      </c>
      <c r="C251" s="15" t="s">
        <v>408</v>
      </c>
      <c r="D251" s="15" t="s">
        <v>409</v>
      </c>
      <c r="E251" s="15">
        <v>2</v>
      </c>
      <c r="F251" s="15"/>
      <c r="G251" s="15"/>
    </row>
    <row r="252" spans="1:7" x14ac:dyDescent="0.2">
      <c r="A252" s="15" t="s">
        <v>78</v>
      </c>
      <c r="B252" s="15" t="s">
        <v>133</v>
      </c>
      <c r="C252" s="15" t="s">
        <v>400</v>
      </c>
      <c r="D252" s="15" t="s">
        <v>401</v>
      </c>
      <c r="E252" s="15">
        <v>2</v>
      </c>
      <c r="F252" s="15"/>
      <c r="G252" s="15"/>
    </row>
    <row r="253" spans="1:7" x14ac:dyDescent="0.2">
      <c r="A253" s="15" t="s">
        <v>78</v>
      </c>
      <c r="B253" s="15" t="s">
        <v>133</v>
      </c>
      <c r="C253" s="15" t="s">
        <v>406</v>
      </c>
      <c r="D253" s="15" t="s">
        <v>407</v>
      </c>
      <c r="E253" s="15">
        <v>2</v>
      </c>
      <c r="F253" s="15"/>
      <c r="G253" s="15"/>
    </row>
    <row r="254" spans="1:7" x14ac:dyDescent="0.2">
      <c r="A254" s="15" t="s">
        <v>78</v>
      </c>
      <c r="B254" s="15" t="s">
        <v>133</v>
      </c>
      <c r="C254" s="15" t="s">
        <v>404</v>
      </c>
      <c r="D254" s="15" t="s">
        <v>405</v>
      </c>
      <c r="E254" s="15">
        <v>2</v>
      </c>
      <c r="F254" s="15"/>
      <c r="G254" s="15"/>
    </row>
    <row r="255" spans="1:7" x14ac:dyDescent="0.2">
      <c r="A255" s="15" t="s">
        <v>78</v>
      </c>
      <c r="B255" s="15" t="s">
        <v>133</v>
      </c>
      <c r="C255" s="15" t="s">
        <v>402</v>
      </c>
      <c r="D255" s="15" t="s">
        <v>403</v>
      </c>
      <c r="E255" s="15">
        <v>1</v>
      </c>
      <c r="F255" s="15"/>
      <c r="G255" s="15"/>
    </row>
    <row r="256" spans="1:7" x14ac:dyDescent="0.2">
      <c r="A256" s="15" t="s">
        <v>78</v>
      </c>
      <c r="B256" s="15" t="s">
        <v>133</v>
      </c>
      <c r="C256" s="15" t="s">
        <v>425</v>
      </c>
      <c r="D256" s="15" t="s">
        <v>426</v>
      </c>
      <c r="E256" s="15">
        <v>1</v>
      </c>
      <c r="F256" s="15"/>
      <c r="G256" s="15"/>
    </row>
    <row r="257" spans="1:7" x14ac:dyDescent="0.2">
      <c r="A257" s="15" t="s">
        <v>78</v>
      </c>
      <c r="B257" s="15" t="s">
        <v>133</v>
      </c>
      <c r="C257" s="15" t="s">
        <v>413</v>
      </c>
      <c r="D257" s="15" t="s">
        <v>414</v>
      </c>
      <c r="E257" s="15" t="s">
        <v>412</v>
      </c>
      <c r="F257" s="15"/>
      <c r="G257" s="15"/>
    </row>
    <row r="258" spans="1:7" x14ac:dyDescent="0.2">
      <c r="A258" s="15" t="s">
        <v>78</v>
      </c>
      <c r="B258" s="15" t="s">
        <v>133</v>
      </c>
      <c r="C258" s="15" t="s">
        <v>388</v>
      </c>
      <c r="D258" s="15" t="s">
        <v>389</v>
      </c>
      <c r="E258" s="15">
        <v>1</v>
      </c>
      <c r="F258" s="15"/>
      <c r="G258" s="15"/>
    </row>
    <row r="259" spans="1:7" x14ac:dyDescent="0.2">
      <c r="A259" s="15" t="s">
        <v>78</v>
      </c>
      <c r="B259" s="15" t="s">
        <v>133</v>
      </c>
      <c r="C259" s="15" t="s">
        <v>421</v>
      </c>
      <c r="D259" s="15" t="s">
        <v>422</v>
      </c>
      <c r="E259" s="15">
        <v>2</v>
      </c>
      <c r="F259" s="15"/>
      <c r="G259" s="15"/>
    </row>
    <row r="260" spans="1:7" x14ac:dyDescent="0.2">
      <c r="A260" s="15" t="s">
        <v>78</v>
      </c>
      <c r="B260" s="15" t="s">
        <v>133</v>
      </c>
      <c r="C260" s="15" t="s">
        <v>423</v>
      </c>
      <c r="D260" s="15" t="s">
        <v>424</v>
      </c>
      <c r="E260" s="15">
        <v>2</v>
      </c>
      <c r="F260" s="15"/>
      <c r="G260" s="15"/>
    </row>
    <row r="261" spans="1:7" x14ac:dyDescent="0.2">
      <c r="A261" s="15" t="s">
        <v>78</v>
      </c>
      <c r="B261" s="15" t="s">
        <v>133</v>
      </c>
      <c r="C261" s="15" t="s">
        <v>415</v>
      </c>
      <c r="D261" s="15" t="s">
        <v>416</v>
      </c>
      <c r="E261" s="15">
        <v>1</v>
      </c>
      <c r="F261" s="15"/>
      <c r="G261" s="15"/>
    </row>
    <row r="262" spans="1:7" x14ac:dyDescent="0.2">
      <c r="A262" s="15" t="s">
        <v>78</v>
      </c>
      <c r="B262" s="15" t="s">
        <v>133</v>
      </c>
      <c r="C262" s="15" t="s">
        <v>410</v>
      </c>
      <c r="D262" s="15" t="s">
        <v>411</v>
      </c>
      <c r="E262" s="15" t="s">
        <v>412</v>
      </c>
      <c r="F262" s="15"/>
      <c r="G262" s="15"/>
    </row>
    <row r="263" spans="1:7" x14ac:dyDescent="0.2">
      <c r="A263" s="15" t="s">
        <v>82</v>
      </c>
      <c r="B263" s="15" t="s">
        <v>133</v>
      </c>
      <c r="C263" s="15" t="s">
        <v>386</v>
      </c>
      <c r="D263" s="15" t="s">
        <v>387</v>
      </c>
      <c r="E263" s="15">
        <v>2</v>
      </c>
      <c r="F263" s="15"/>
      <c r="G263" s="15"/>
    </row>
    <row r="264" spans="1:7" x14ac:dyDescent="0.2">
      <c r="A264" s="15" t="s">
        <v>82</v>
      </c>
      <c r="B264" s="15" t="s">
        <v>133</v>
      </c>
      <c r="C264" s="15" t="s">
        <v>431</v>
      </c>
      <c r="D264" s="15" t="s">
        <v>432</v>
      </c>
      <c r="E264" s="15">
        <v>2</v>
      </c>
      <c r="F264" s="15"/>
      <c r="G264" s="15"/>
    </row>
    <row r="265" spans="1:7" x14ac:dyDescent="0.2">
      <c r="A265" s="15" t="s">
        <v>82</v>
      </c>
      <c r="B265" s="15" t="s">
        <v>133</v>
      </c>
      <c r="C265" s="15" t="s">
        <v>421</v>
      </c>
      <c r="D265" s="15" t="s">
        <v>422</v>
      </c>
      <c r="E265" s="15">
        <v>3</v>
      </c>
      <c r="F265" s="15"/>
      <c r="G265" s="15"/>
    </row>
    <row r="266" spans="1:7" x14ac:dyDescent="0.2">
      <c r="A266" s="15" t="s">
        <v>82</v>
      </c>
      <c r="B266" s="15" t="s">
        <v>133</v>
      </c>
      <c r="C266" s="15" t="s">
        <v>398</v>
      </c>
      <c r="D266" s="15" t="s">
        <v>399</v>
      </c>
      <c r="E266" s="15">
        <v>2</v>
      </c>
      <c r="F266" s="15"/>
      <c r="G266" s="15"/>
    </row>
    <row r="267" spans="1:7" x14ac:dyDescent="0.2">
      <c r="A267" s="15" t="s">
        <v>87</v>
      </c>
      <c r="B267" s="15" t="s">
        <v>133</v>
      </c>
      <c r="C267" s="15" t="s">
        <v>386</v>
      </c>
      <c r="D267" s="15" t="s">
        <v>387</v>
      </c>
      <c r="E267" s="15">
        <v>2</v>
      </c>
      <c r="F267" s="15"/>
      <c r="G267" s="15"/>
    </row>
    <row r="268" spans="1:7" x14ac:dyDescent="0.2">
      <c r="A268" s="15" t="s">
        <v>87</v>
      </c>
      <c r="B268" s="15" t="s">
        <v>133</v>
      </c>
      <c r="C268" s="15" t="s">
        <v>390</v>
      </c>
      <c r="D268" s="15" t="s">
        <v>391</v>
      </c>
      <c r="E268" s="15">
        <v>2</v>
      </c>
      <c r="F268" s="15"/>
      <c r="G268" s="15"/>
    </row>
    <row r="269" spans="1:7" x14ac:dyDescent="0.2">
      <c r="A269" s="15" t="s">
        <v>87</v>
      </c>
      <c r="B269" s="15" t="s">
        <v>133</v>
      </c>
      <c r="C269" s="15" t="s">
        <v>440</v>
      </c>
      <c r="D269" s="15" t="s">
        <v>441</v>
      </c>
      <c r="E269" s="15" t="s">
        <v>412</v>
      </c>
      <c r="F269" s="15"/>
      <c r="G269" s="15"/>
    </row>
    <row r="270" spans="1:7" x14ac:dyDescent="0.2">
      <c r="A270" s="15" t="s">
        <v>87</v>
      </c>
      <c r="B270" s="15" t="s">
        <v>133</v>
      </c>
      <c r="C270" s="15" t="s">
        <v>421</v>
      </c>
      <c r="D270" s="15" t="s">
        <v>422</v>
      </c>
      <c r="E270" s="15">
        <v>3</v>
      </c>
      <c r="F270" s="15"/>
      <c r="G270" s="15"/>
    </row>
    <row r="271" spans="1:7" x14ac:dyDescent="0.2">
      <c r="A271" s="15" t="s">
        <v>90</v>
      </c>
      <c r="B271" s="15" t="s">
        <v>133</v>
      </c>
      <c r="C271" s="15" t="s">
        <v>384</v>
      </c>
      <c r="D271" s="15" t="s">
        <v>385</v>
      </c>
      <c r="E271" s="15">
        <v>2</v>
      </c>
      <c r="F271" s="15"/>
      <c r="G271" s="15"/>
    </row>
    <row r="272" spans="1:7" x14ac:dyDescent="0.2">
      <c r="A272" s="15" t="s">
        <v>90</v>
      </c>
      <c r="B272" s="15" t="s">
        <v>133</v>
      </c>
      <c r="C272" s="15" t="s">
        <v>488</v>
      </c>
      <c r="D272" s="15" t="s">
        <v>489</v>
      </c>
      <c r="E272" s="15">
        <v>1</v>
      </c>
      <c r="F272" s="15"/>
      <c r="G272" s="15"/>
    </row>
    <row r="273" spans="1:7" x14ac:dyDescent="0.2">
      <c r="A273" s="15" t="s">
        <v>90</v>
      </c>
      <c r="B273" s="15" t="s">
        <v>133</v>
      </c>
      <c r="C273" s="15" t="s">
        <v>421</v>
      </c>
      <c r="D273" s="15" t="s">
        <v>422</v>
      </c>
      <c r="E273" s="15">
        <v>2</v>
      </c>
      <c r="F273" s="15"/>
      <c r="G273" s="15"/>
    </row>
    <row r="274" spans="1:7" x14ac:dyDescent="0.2">
      <c r="A274" s="15" t="s">
        <v>90</v>
      </c>
      <c r="B274" s="15" t="s">
        <v>133</v>
      </c>
      <c r="C274" s="15" t="s">
        <v>386</v>
      </c>
      <c r="D274" s="15" t="s">
        <v>387</v>
      </c>
      <c r="E274" s="15">
        <v>2</v>
      </c>
      <c r="F274" s="15"/>
      <c r="G274" s="15"/>
    </row>
    <row r="275" spans="1:7" x14ac:dyDescent="0.2">
      <c r="A275" s="15" t="s">
        <v>90</v>
      </c>
      <c r="B275" s="15" t="s">
        <v>133</v>
      </c>
      <c r="C275" s="15" t="s">
        <v>390</v>
      </c>
      <c r="D275" s="15" t="s">
        <v>391</v>
      </c>
      <c r="E275" s="15">
        <v>1</v>
      </c>
      <c r="F275" s="15"/>
      <c r="G275" s="15"/>
    </row>
    <row r="276" spans="1:7" x14ac:dyDescent="0.2">
      <c r="A276" s="15" t="s">
        <v>90</v>
      </c>
      <c r="B276" s="15" t="s">
        <v>133</v>
      </c>
      <c r="C276" s="15" t="s">
        <v>440</v>
      </c>
      <c r="D276" s="15" t="s">
        <v>441</v>
      </c>
      <c r="E276" s="15" t="s">
        <v>412</v>
      </c>
      <c r="F276" s="15"/>
      <c r="G276" s="15"/>
    </row>
    <row r="277" spans="1:7" x14ac:dyDescent="0.2">
      <c r="A277" s="15" t="s">
        <v>90</v>
      </c>
      <c r="B277" s="15" t="s">
        <v>133</v>
      </c>
      <c r="C277" s="15" t="s">
        <v>406</v>
      </c>
      <c r="D277" s="15" t="s">
        <v>407</v>
      </c>
      <c r="E277" s="15">
        <v>1</v>
      </c>
      <c r="F277" s="15"/>
      <c r="G277" s="15"/>
    </row>
    <row r="278" spans="1:7" x14ac:dyDescent="0.2">
      <c r="A278" s="15" t="s">
        <v>93</v>
      </c>
      <c r="B278" s="15" t="s">
        <v>133</v>
      </c>
      <c r="C278" s="15" t="s">
        <v>440</v>
      </c>
      <c r="D278" s="15" t="s">
        <v>441</v>
      </c>
      <c r="E278" s="15">
        <v>2</v>
      </c>
      <c r="F278" s="15"/>
      <c r="G278" s="15"/>
    </row>
    <row r="279" spans="1:7" x14ac:dyDescent="0.2">
      <c r="A279" s="15" t="s">
        <v>93</v>
      </c>
      <c r="B279" s="15" t="s">
        <v>133</v>
      </c>
      <c r="C279" s="15" t="s">
        <v>421</v>
      </c>
      <c r="D279" s="15" t="s">
        <v>422</v>
      </c>
      <c r="E279" s="15">
        <v>3</v>
      </c>
      <c r="F279" s="15"/>
      <c r="G279" s="15"/>
    </row>
    <row r="280" spans="1:7" x14ac:dyDescent="0.2">
      <c r="A280" s="15" t="s">
        <v>93</v>
      </c>
      <c r="B280" s="15" t="s">
        <v>133</v>
      </c>
      <c r="C280" s="15" t="s">
        <v>398</v>
      </c>
      <c r="D280" s="15" t="s">
        <v>399</v>
      </c>
      <c r="E280" s="15">
        <v>2</v>
      </c>
      <c r="F280" s="15"/>
      <c r="G280" s="15"/>
    </row>
    <row r="281" spans="1:7" x14ac:dyDescent="0.2">
      <c r="A281" s="15" t="s">
        <v>93</v>
      </c>
      <c r="B281" s="15" t="s">
        <v>133</v>
      </c>
      <c r="C281" s="15" t="s">
        <v>442</v>
      </c>
      <c r="D281" s="15" t="s">
        <v>443</v>
      </c>
      <c r="E281" s="15">
        <v>1</v>
      </c>
      <c r="F281" s="15"/>
      <c r="G281" s="15"/>
    </row>
    <row r="282" spans="1:7" x14ac:dyDescent="0.2">
      <c r="A282" s="15" t="s">
        <v>95</v>
      </c>
      <c r="B282" s="15" t="s">
        <v>133</v>
      </c>
      <c r="C282" s="15" t="s">
        <v>396</v>
      </c>
      <c r="D282" s="15" t="s">
        <v>397</v>
      </c>
      <c r="E282" s="15">
        <v>3</v>
      </c>
      <c r="F282" s="15"/>
      <c r="G282" s="15"/>
    </row>
    <row r="283" spans="1:7" x14ac:dyDescent="0.2">
      <c r="A283" s="15" t="s">
        <v>95</v>
      </c>
      <c r="B283" s="15" t="s">
        <v>133</v>
      </c>
      <c r="C283" s="15" t="s">
        <v>444</v>
      </c>
      <c r="D283" s="15" t="s">
        <v>445</v>
      </c>
      <c r="E283" s="15">
        <v>2</v>
      </c>
      <c r="F283" s="15"/>
      <c r="G283" s="15"/>
    </row>
    <row r="284" spans="1:7" x14ac:dyDescent="0.2">
      <c r="A284" s="15" t="s">
        <v>95</v>
      </c>
      <c r="B284" s="15" t="s">
        <v>133</v>
      </c>
      <c r="C284" s="15" t="s">
        <v>398</v>
      </c>
      <c r="D284" s="15" t="s">
        <v>399</v>
      </c>
      <c r="E284" s="15">
        <v>2</v>
      </c>
      <c r="F284" s="15"/>
      <c r="G284" s="15"/>
    </row>
    <row r="285" spans="1:7" x14ac:dyDescent="0.2">
      <c r="A285" s="15" t="s">
        <v>95</v>
      </c>
      <c r="B285" s="15" t="s">
        <v>133</v>
      </c>
      <c r="C285" s="15" t="s">
        <v>446</v>
      </c>
      <c r="D285" s="15" t="s">
        <v>447</v>
      </c>
      <c r="E285" s="15">
        <v>2</v>
      </c>
      <c r="F285" s="15"/>
      <c r="G285" s="15"/>
    </row>
    <row r="286" spans="1:7" x14ac:dyDescent="0.2">
      <c r="A286" s="15" t="s">
        <v>95</v>
      </c>
      <c r="B286" s="15" t="s">
        <v>133</v>
      </c>
      <c r="C286" s="15" t="s">
        <v>406</v>
      </c>
      <c r="D286" s="15" t="s">
        <v>407</v>
      </c>
      <c r="E286" s="15">
        <v>1</v>
      </c>
      <c r="F286" s="15"/>
      <c r="G286" s="15"/>
    </row>
    <row r="287" spans="1:7" x14ac:dyDescent="0.2">
      <c r="A287" s="15" t="s">
        <v>98</v>
      </c>
      <c r="B287" s="15" t="s">
        <v>133</v>
      </c>
      <c r="C287" s="15" t="s">
        <v>406</v>
      </c>
      <c r="D287" s="15" t="s">
        <v>407</v>
      </c>
      <c r="E287" s="15">
        <v>2</v>
      </c>
      <c r="F287" s="15"/>
      <c r="G287" s="15"/>
    </row>
    <row r="288" spans="1:7" x14ac:dyDescent="0.2">
      <c r="A288" s="15" t="s">
        <v>98</v>
      </c>
      <c r="B288" s="15" t="s">
        <v>133</v>
      </c>
      <c r="C288" s="15" t="s">
        <v>390</v>
      </c>
      <c r="D288" s="15" t="s">
        <v>391</v>
      </c>
      <c r="E288" s="15">
        <v>2</v>
      </c>
      <c r="F288" s="15"/>
      <c r="G288" s="15"/>
    </row>
    <row r="289" spans="1:7" x14ac:dyDescent="0.2">
      <c r="A289" s="15" t="s">
        <v>98</v>
      </c>
      <c r="B289" s="15" t="s">
        <v>133</v>
      </c>
      <c r="C289" s="15" t="s">
        <v>452</v>
      </c>
      <c r="D289" s="15" t="s">
        <v>453</v>
      </c>
      <c r="E289" s="15">
        <v>1</v>
      </c>
      <c r="F289" s="15"/>
      <c r="G289" s="15"/>
    </row>
    <row r="290" spans="1:7" x14ac:dyDescent="0.2">
      <c r="A290" s="15" t="s">
        <v>98</v>
      </c>
      <c r="B290" s="15" t="s">
        <v>133</v>
      </c>
      <c r="C290" s="15" t="s">
        <v>448</v>
      </c>
      <c r="D290" s="15" t="s">
        <v>449</v>
      </c>
      <c r="E290" s="15">
        <v>1</v>
      </c>
      <c r="F290" s="15"/>
      <c r="G290" s="15"/>
    </row>
    <row r="291" spans="1:7" x14ac:dyDescent="0.2">
      <c r="A291" s="15" t="s">
        <v>98</v>
      </c>
      <c r="B291" s="15" t="s">
        <v>133</v>
      </c>
      <c r="C291" s="15" t="s">
        <v>384</v>
      </c>
      <c r="D291" s="15" t="s">
        <v>385</v>
      </c>
      <c r="E291" s="15">
        <v>2</v>
      </c>
      <c r="F291" s="15"/>
      <c r="G291" s="15"/>
    </row>
    <row r="292" spans="1:7" x14ac:dyDescent="0.2">
      <c r="A292" s="15" t="s">
        <v>98</v>
      </c>
      <c r="B292" s="15" t="s">
        <v>133</v>
      </c>
      <c r="C292" s="15" t="s">
        <v>421</v>
      </c>
      <c r="D292" s="15" t="s">
        <v>422</v>
      </c>
      <c r="E292" s="15">
        <v>1</v>
      </c>
      <c r="F292" s="15"/>
      <c r="G292" s="15"/>
    </row>
    <row r="293" spans="1:7" x14ac:dyDescent="0.2">
      <c r="A293" s="15" t="s">
        <v>98</v>
      </c>
      <c r="B293" s="15" t="s">
        <v>133</v>
      </c>
      <c r="C293" s="15" t="s">
        <v>427</v>
      </c>
      <c r="D293" s="15" t="s">
        <v>428</v>
      </c>
      <c r="E293" s="15">
        <v>1</v>
      </c>
      <c r="F293" s="15"/>
      <c r="G293" s="15"/>
    </row>
    <row r="294" spans="1:7" x14ac:dyDescent="0.2">
      <c r="A294" s="15" t="s">
        <v>98</v>
      </c>
      <c r="B294" s="15" t="s">
        <v>133</v>
      </c>
      <c r="C294" s="15" t="s">
        <v>386</v>
      </c>
      <c r="D294" s="15" t="s">
        <v>387</v>
      </c>
      <c r="E294" s="15">
        <v>1</v>
      </c>
      <c r="F294" s="15"/>
      <c r="G294" s="15"/>
    </row>
    <row r="295" spans="1:7" x14ac:dyDescent="0.2">
      <c r="A295" s="15" t="s">
        <v>100</v>
      </c>
      <c r="B295" s="15" t="s">
        <v>133</v>
      </c>
      <c r="C295" s="15" t="s">
        <v>390</v>
      </c>
      <c r="D295" s="15" t="s">
        <v>391</v>
      </c>
      <c r="E295" s="15">
        <v>1</v>
      </c>
      <c r="F295" s="15"/>
      <c r="G295" s="15"/>
    </row>
    <row r="296" spans="1:7" x14ac:dyDescent="0.2">
      <c r="A296" s="15" t="s">
        <v>100</v>
      </c>
      <c r="B296" s="15" t="s">
        <v>133</v>
      </c>
      <c r="C296" s="15" t="s">
        <v>386</v>
      </c>
      <c r="D296" s="15" t="s">
        <v>387</v>
      </c>
      <c r="E296" s="15">
        <v>2</v>
      </c>
      <c r="F296" s="15"/>
      <c r="G296" s="15"/>
    </row>
    <row r="297" spans="1:7" x14ac:dyDescent="0.2">
      <c r="A297" s="15" t="s">
        <v>100</v>
      </c>
      <c r="B297" s="15" t="s">
        <v>133</v>
      </c>
      <c r="C297" s="15" t="s">
        <v>488</v>
      </c>
      <c r="D297" s="15" t="s">
        <v>489</v>
      </c>
      <c r="E297" s="15">
        <v>2</v>
      </c>
      <c r="F297" s="15"/>
      <c r="G297" s="15"/>
    </row>
    <row r="298" spans="1:7" x14ac:dyDescent="0.2">
      <c r="A298" s="15" t="s">
        <v>100</v>
      </c>
      <c r="B298" s="15" t="s">
        <v>133</v>
      </c>
      <c r="C298" s="15" t="s">
        <v>406</v>
      </c>
      <c r="D298" s="15" t="s">
        <v>407</v>
      </c>
      <c r="E298" s="15">
        <v>2</v>
      </c>
      <c r="F298" s="15"/>
      <c r="G298" s="15"/>
    </row>
    <row r="299" spans="1:7" x14ac:dyDescent="0.2">
      <c r="A299" s="15" t="s">
        <v>100</v>
      </c>
      <c r="B299" s="15" t="s">
        <v>133</v>
      </c>
      <c r="C299" s="15" t="s">
        <v>421</v>
      </c>
      <c r="D299" s="15" t="s">
        <v>422</v>
      </c>
      <c r="E299" s="15">
        <v>3</v>
      </c>
      <c r="F299" s="15"/>
      <c r="G299" s="15"/>
    </row>
    <row r="300" spans="1:7" x14ac:dyDescent="0.2">
      <c r="A300" s="15" t="s">
        <v>100</v>
      </c>
      <c r="B300" s="15" t="s">
        <v>133</v>
      </c>
      <c r="C300" s="15" t="s">
        <v>398</v>
      </c>
      <c r="D300" s="15" t="s">
        <v>399</v>
      </c>
      <c r="E300" s="15">
        <v>2</v>
      </c>
      <c r="F300" s="15"/>
      <c r="G300" s="15"/>
    </row>
    <row r="301" spans="1:7" x14ac:dyDescent="0.2">
      <c r="A301" s="15" t="s">
        <v>100</v>
      </c>
      <c r="B301" s="15" t="s">
        <v>133</v>
      </c>
      <c r="C301" s="15" t="s">
        <v>384</v>
      </c>
      <c r="D301" s="15" t="s">
        <v>385</v>
      </c>
      <c r="E301" s="15">
        <v>1</v>
      </c>
      <c r="F301" s="15"/>
      <c r="G301" s="15"/>
    </row>
    <row r="302" spans="1:7" x14ac:dyDescent="0.2">
      <c r="A302" s="15" t="s">
        <v>100</v>
      </c>
      <c r="B302" s="15" t="s">
        <v>133</v>
      </c>
      <c r="C302" s="15" t="s">
        <v>440</v>
      </c>
      <c r="D302" s="15" t="s">
        <v>441</v>
      </c>
      <c r="E302" s="15" t="s">
        <v>412</v>
      </c>
      <c r="F302" s="15"/>
      <c r="G302" s="15"/>
    </row>
    <row r="303" spans="1:7" x14ac:dyDescent="0.2">
      <c r="A303" s="15" t="s">
        <v>100</v>
      </c>
      <c r="B303" s="15" t="s">
        <v>133</v>
      </c>
      <c r="C303" s="15" t="s">
        <v>446</v>
      </c>
      <c r="D303" s="15" t="s">
        <v>447</v>
      </c>
      <c r="E303" s="15">
        <v>1</v>
      </c>
      <c r="F303" s="15"/>
      <c r="G303" s="15"/>
    </row>
    <row r="304" spans="1:7" x14ac:dyDescent="0.2">
      <c r="A304" s="15" t="s">
        <v>101</v>
      </c>
      <c r="B304" s="15" t="s">
        <v>133</v>
      </c>
      <c r="C304" s="15" t="s">
        <v>427</v>
      </c>
      <c r="D304" s="15" t="s">
        <v>428</v>
      </c>
      <c r="E304" s="15">
        <v>1</v>
      </c>
      <c r="F304" s="15"/>
      <c r="G304" s="15"/>
    </row>
    <row r="305" spans="1:7" x14ac:dyDescent="0.2">
      <c r="A305" s="15" t="s">
        <v>101</v>
      </c>
      <c r="B305" s="15" t="s">
        <v>133</v>
      </c>
      <c r="C305" s="15" t="s">
        <v>396</v>
      </c>
      <c r="D305" s="15" t="s">
        <v>397</v>
      </c>
      <c r="E305" s="15">
        <v>2</v>
      </c>
      <c r="F305" s="15"/>
      <c r="G305" s="15"/>
    </row>
    <row r="306" spans="1:7" x14ac:dyDescent="0.2">
      <c r="A306" s="15" t="s">
        <v>101</v>
      </c>
      <c r="B306" s="15" t="s">
        <v>133</v>
      </c>
      <c r="C306" s="15" t="s">
        <v>442</v>
      </c>
      <c r="D306" s="15" t="s">
        <v>443</v>
      </c>
      <c r="E306" s="15">
        <v>1</v>
      </c>
      <c r="F306" s="15"/>
      <c r="G306" s="15"/>
    </row>
    <row r="307" spans="1:7" x14ac:dyDescent="0.2">
      <c r="A307" s="15" t="s">
        <v>101</v>
      </c>
      <c r="B307" s="15" t="s">
        <v>133</v>
      </c>
      <c r="C307" s="15" t="s">
        <v>421</v>
      </c>
      <c r="D307" s="15" t="s">
        <v>422</v>
      </c>
      <c r="E307" s="15">
        <v>2</v>
      </c>
      <c r="F307" s="15"/>
      <c r="G307" s="15"/>
    </row>
    <row r="308" spans="1:7" x14ac:dyDescent="0.2">
      <c r="A308" s="15" t="s">
        <v>101</v>
      </c>
      <c r="B308" s="15" t="s">
        <v>133</v>
      </c>
      <c r="C308" s="15" t="s">
        <v>454</v>
      </c>
      <c r="D308" s="15" t="s">
        <v>455</v>
      </c>
      <c r="E308" s="15">
        <v>1</v>
      </c>
      <c r="F308" s="15"/>
      <c r="G308" s="15"/>
    </row>
    <row r="309" spans="1:7" x14ac:dyDescent="0.2">
      <c r="A309" s="15" t="s">
        <v>101</v>
      </c>
      <c r="B309" s="15" t="s">
        <v>133</v>
      </c>
      <c r="C309" s="15" t="s">
        <v>413</v>
      </c>
      <c r="D309" s="15" t="s">
        <v>414</v>
      </c>
      <c r="E309" s="15">
        <v>1</v>
      </c>
      <c r="F309" s="15"/>
      <c r="G309" s="15"/>
    </row>
    <row r="310" spans="1:7" x14ac:dyDescent="0.2">
      <c r="A310" s="15" t="s">
        <v>105</v>
      </c>
      <c r="B310" s="15" t="s">
        <v>133</v>
      </c>
      <c r="C310" s="15" t="s">
        <v>458</v>
      </c>
      <c r="D310" s="15" t="s">
        <v>458</v>
      </c>
      <c r="E310" s="15">
        <v>2</v>
      </c>
      <c r="F310" s="15"/>
      <c r="G310" s="15"/>
    </row>
    <row r="311" spans="1:7" x14ac:dyDescent="0.2">
      <c r="A311" s="15" t="s">
        <v>105</v>
      </c>
      <c r="B311" s="15" t="s">
        <v>133</v>
      </c>
      <c r="C311" s="15" t="s">
        <v>446</v>
      </c>
      <c r="D311" s="15" t="s">
        <v>447</v>
      </c>
      <c r="E311" s="15">
        <v>1</v>
      </c>
      <c r="F311" s="15"/>
      <c r="G311" s="15"/>
    </row>
    <row r="312" spans="1:7" x14ac:dyDescent="0.2">
      <c r="A312" s="15" t="s">
        <v>105</v>
      </c>
      <c r="B312" s="15" t="s">
        <v>133</v>
      </c>
      <c r="C312" s="15" t="s">
        <v>456</v>
      </c>
      <c r="D312" s="15" t="s">
        <v>457</v>
      </c>
      <c r="E312" s="15" t="s">
        <v>412</v>
      </c>
      <c r="F312" s="15"/>
      <c r="G312" s="15"/>
    </row>
    <row r="313" spans="1:7" x14ac:dyDescent="0.2">
      <c r="A313" s="15" t="s">
        <v>105</v>
      </c>
      <c r="B313" s="15" t="s">
        <v>133</v>
      </c>
      <c r="C313" s="15" t="s">
        <v>421</v>
      </c>
      <c r="D313" s="15" t="s">
        <v>422</v>
      </c>
      <c r="E313" s="15">
        <v>1</v>
      </c>
      <c r="F313" s="15"/>
      <c r="G313" s="15"/>
    </row>
    <row r="314" spans="1:7" x14ac:dyDescent="0.2">
      <c r="A314" s="15" t="s">
        <v>106</v>
      </c>
      <c r="B314" s="15" t="s">
        <v>133</v>
      </c>
      <c r="C314" s="15" t="s">
        <v>386</v>
      </c>
      <c r="D314" s="15" t="s">
        <v>387</v>
      </c>
      <c r="E314" s="15">
        <v>1</v>
      </c>
      <c r="F314" s="15"/>
      <c r="G314" s="15"/>
    </row>
    <row r="315" spans="1:7" x14ac:dyDescent="0.2">
      <c r="A315" s="15" t="s">
        <v>106</v>
      </c>
      <c r="B315" s="15" t="s">
        <v>133</v>
      </c>
      <c r="C315" s="15" t="s">
        <v>421</v>
      </c>
      <c r="D315" s="15" t="s">
        <v>422</v>
      </c>
      <c r="E315" s="15">
        <v>2</v>
      </c>
      <c r="F315" s="15"/>
      <c r="G315" s="15"/>
    </row>
    <row r="316" spans="1:7" x14ac:dyDescent="0.2">
      <c r="A316" s="15" t="s">
        <v>106</v>
      </c>
      <c r="B316" s="15" t="s">
        <v>133</v>
      </c>
      <c r="C316" s="15" t="s">
        <v>459</v>
      </c>
      <c r="D316" s="15" t="s">
        <v>459</v>
      </c>
      <c r="E316" s="15">
        <v>2</v>
      </c>
      <c r="F316" s="15"/>
      <c r="G316" s="15"/>
    </row>
    <row r="317" spans="1:7" x14ac:dyDescent="0.2">
      <c r="A317" s="15" t="s">
        <v>106</v>
      </c>
      <c r="B317" s="15" t="s">
        <v>133</v>
      </c>
      <c r="C317" s="15" t="s">
        <v>398</v>
      </c>
      <c r="D317" s="15" t="s">
        <v>399</v>
      </c>
      <c r="E317" s="15">
        <v>2</v>
      </c>
      <c r="F317" s="15"/>
      <c r="G317" s="15"/>
    </row>
    <row r="318" spans="1:7" x14ac:dyDescent="0.2">
      <c r="A318" s="15" t="s">
        <v>106</v>
      </c>
      <c r="B318" s="15" t="s">
        <v>133</v>
      </c>
      <c r="C318" s="15" t="s">
        <v>417</v>
      </c>
      <c r="D318" s="15" t="s">
        <v>418</v>
      </c>
      <c r="E318" s="15">
        <v>1</v>
      </c>
      <c r="F318" s="15"/>
      <c r="G318" s="15"/>
    </row>
    <row r="319" spans="1:7" x14ac:dyDescent="0.2">
      <c r="A319" s="15" t="s">
        <v>107</v>
      </c>
      <c r="B319" s="15" t="s">
        <v>133</v>
      </c>
      <c r="C319" s="15" t="s">
        <v>512</v>
      </c>
      <c r="D319" s="15" t="s">
        <v>513</v>
      </c>
      <c r="E319" s="15">
        <v>1</v>
      </c>
      <c r="F319" s="15"/>
      <c r="G319" s="15"/>
    </row>
    <row r="320" spans="1:7" x14ac:dyDescent="0.2">
      <c r="A320" s="15" t="s">
        <v>107</v>
      </c>
      <c r="B320" s="15" t="s">
        <v>133</v>
      </c>
      <c r="C320" s="15" t="s">
        <v>440</v>
      </c>
      <c r="D320" s="15" t="s">
        <v>441</v>
      </c>
      <c r="E320" s="15" t="s">
        <v>412</v>
      </c>
      <c r="F320" s="15"/>
      <c r="G320" s="15"/>
    </row>
    <row r="321" spans="1:7" x14ac:dyDescent="0.2">
      <c r="A321" s="15" t="s">
        <v>107</v>
      </c>
      <c r="B321" s="15" t="s">
        <v>133</v>
      </c>
      <c r="C321" s="15" t="s">
        <v>413</v>
      </c>
      <c r="D321" s="15" t="s">
        <v>414</v>
      </c>
      <c r="E321" s="15" t="s">
        <v>412</v>
      </c>
      <c r="F321" s="15"/>
      <c r="G321" s="15"/>
    </row>
    <row r="322" spans="1:7" x14ac:dyDescent="0.2">
      <c r="A322" s="15" t="s">
        <v>107</v>
      </c>
      <c r="B322" s="15" t="s">
        <v>133</v>
      </c>
      <c r="C322" s="15" t="s">
        <v>466</v>
      </c>
      <c r="D322" s="15" t="s">
        <v>467</v>
      </c>
      <c r="E322" s="15">
        <v>1</v>
      </c>
      <c r="F322" s="15"/>
      <c r="G322" s="15"/>
    </row>
    <row r="323" spans="1:7" x14ac:dyDescent="0.2">
      <c r="A323" s="15" t="s">
        <v>107</v>
      </c>
      <c r="B323" s="15" t="s">
        <v>133</v>
      </c>
      <c r="C323" s="15" t="s">
        <v>459</v>
      </c>
      <c r="D323" s="15" t="s">
        <v>459</v>
      </c>
      <c r="E323" s="15">
        <v>2</v>
      </c>
      <c r="F323" s="15"/>
      <c r="G323" s="15"/>
    </row>
    <row r="324" spans="1:7" x14ac:dyDescent="0.2">
      <c r="A324" s="15" t="s">
        <v>107</v>
      </c>
      <c r="B324" s="15" t="s">
        <v>133</v>
      </c>
      <c r="C324" s="15" t="s">
        <v>386</v>
      </c>
      <c r="D324" s="15" t="s">
        <v>387</v>
      </c>
      <c r="E324" s="15">
        <v>1</v>
      </c>
      <c r="F324" s="15"/>
      <c r="G324" s="15"/>
    </row>
    <row r="325" spans="1:7" x14ac:dyDescent="0.2">
      <c r="A325" s="15" t="s">
        <v>107</v>
      </c>
      <c r="B325" s="15" t="s">
        <v>133</v>
      </c>
      <c r="C325" s="15" t="s">
        <v>406</v>
      </c>
      <c r="D325" s="15" t="s">
        <v>407</v>
      </c>
      <c r="E325" s="15">
        <v>1</v>
      </c>
      <c r="F325" s="15"/>
      <c r="G325" s="15"/>
    </row>
    <row r="326" spans="1:7" x14ac:dyDescent="0.2">
      <c r="A326" s="15" t="s">
        <v>107</v>
      </c>
      <c r="B326" s="15" t="s">
        <v>133</v>
      </c>
      <c r="C326" s="15" t="s">
        <v>444</v>
      </c>
      <c r="D326" s="15" t="s">
        <v>445</v>
      </c>
      <c r="E326" s="15">
        <v>2</v>
      </c>
      <c r="F326" s="15"/>
      <c r="G326" s="15"/>
    </row>
    <row r="327" spans="1:7" x14ac:dyDescent="0.2">
      <c r="A327" s="15" t="s">
        <v>107</v>
      </c>
      <c r="B327" s="15" t="s">
        <v>133</v>
      </c>
      <c r="C327" s="15" t="s">
        <v>464</v>
      </c>
      <c r="D327" s="15" t="s">
        <v>465</v>
      </c>
      <c r="E327" s="15">
        <v>1</v>
      </c>
      <c r="F327" s="15"/>
      <c r="G327" s="15"/>
    </row>
    <row r="328" spans="1:7" x14ac:dyDescent="0.2">
      <c r="A328" s="15" t="s">
        <v>107</v>
      </c>
      <c r="B328" s="15" t="s">
        <v>133</v>
      </c>
      <c r="C328" s="15" t="s">
        <v>514</v>
      </c>
      <c r="D328" s="15" t="s">
        <v>515</v>
      </c>
      <c r="E328" s="15">
        <v>1</v>
      </c>
      <c r="F328" s="15"/>
      <c r="G328" s="15"/>
    </row>
    <row r="329" spans="1:7" x14ac:dyDescent="0.2">
      <c r="A329" s="15" t="s">
        <v>107</v>
      </c>
      <c r="B329" s="15" t="s">
        <v>133</v>
      </c>
      <c r="C329" s="15" t="s">
        <v>398</v>
      </c>
      <c r="D329" s="15" t="s">
        <v>399</v>
      </c>
      <c r="E329" s="15">
        <v>2</v>
      </c>
      <c r="F329" s="15"/>
      <c r="G329" s="15"/>
    </row>
    <row r="330" spans="1:7" x14ac:dyDescent="0.2">
      <c r="A330" s="15" t="s">
        <v>107</v>
      </c>
      <c r="B330" s="15" t="s">
        <v>133</v>
      </c>
      <c r="C330" s="15" t="s">
        <v>516</v>
      </c>
      <c r="D330" s="15" t="s">
        <v>517</v>
      </c>
      <c r="E330" s="15">
        <v>1</v>
      </c>
      <c r="F330" s="15"/>
      <c r="G330" s="15"/>
    </row>
    <row r="331" spans="1:7" x14ac:dyDescent="0.2">
      <c r="A331" s="15" t="s">
        <v>107</v>
      </c>
      <c r="B331" s="15" t="s">
        <v>133</v>
      </c>
      <c r="C331" s="15" t="s">
        <v>468</v>
      </c>
      <c r="D331" s="15" t="s">
        <v>469</v>
      </c>
      <c r="E331" s="15" t="s">
        <v>412</v>
      </c>
      <c r="F331" s="15"/>
      <c r="G331" s="15"/>
    </row>
    <row r="332" spans="1:7" x14ac:dyDescent="0.2">
      <c r="A332" s="15" t="s">
        <v>107</v>
      </c>
      <c r="B332" s="15" t="s">
        <v>133</v>
      </c>
      <c r="C332" s="15" t="s">
        <v>494</v>
      </c>
      <c r="D332" s="15" t="s">
        <v>494</v>
      </c>
      <c r="E332" s="15">
        <v>2</v>
      </c>
      <c r="F332" s="15"/>
      <c r="G332" s="15"/>
    </row>
    <row r="333" spans="1:7" x14ac:dyDescent="0.2">
      <c r="A333" s="15" t="s">
        <v>109</v>
      </c>
      <c r="B333" s="15" t="s">
        <v>133</v>
      </c>
      <c r="C333" s="15" t="s">
        <v>386</v>
      </c>
      <c r="D333" s="15" t="s">
        <v>387</v>
      </c>
      <c r="E333" s="15">
        <v>2</v>
      </c>
      <c r="F333" s="15"/>
      <c r="G333" s="15"/>
    </row>
    <row r="334" spans="1:7" x14ac:dyDescent="0.2">
      <c r="A334" s="15" t="s">
        <v>109</v>
      </c>
      <c r="B334" s="15" t="s">
        <v>133</v>
      </c>
      <c r="C334" s="15" t="s">
        <v>478</v>
      </c>
      <c r="D334" s="15" t="s">
        <v>479</v>
      </c>
      <c r="E334" s="15">
        <v>2</v>
      </c>
      <c r="F334" s="15"/>
      <c r="G334" s="15"/>
    </row>
    <row r="335" spans="1:7" x14ac:dyDescent="0.2">
      <c r="A335" s="15" t="s">
        <v>109</v>
      </c>
      <c r="B335" s="15" t="s">
        <v>133</v>
      </c>
      <c r="C335" s="15" t="s">
        <v>458</v>
      </c>
      <c r="D335" s="15" t="s">
        <v>458</v>
      </c>
      <c r="E335" s="15">
        <v>3</v>
      </c>
      <c r="F335" s="15"/>
      <c r="G335" s="15"/>
    </row>
    <row r="336" spans="1:7" x14ac:dyDescent="0.2">
      <c r="A336" s="15" t="s">
        <v>109</v>
      </c>
      <c r="B336" s="15" t="s">
        <v>133</v>
      </c>
      <c r="C336" s="15" t="s">
        <v>459</v>
      </c>
      <c r="D336" s="15" t="s">
        <v>459</v>
      </c>
      <c r="E336" s="15">
        <v>2</v>
      </c>
      <c r="F336" s="15"/>
      <c r="G336" s="15"/>
    </row>
    <row r="337" spans="1:7" x14ac:dyDescent="0.2">
      <c r="A337" s="15" t="s">
        <v>109</v>
      </c>
      <c r="B337" s="15" t="s">
        <v>133</v>
      </c>
      <c r="C337" s="15" t="s">
        <v>454</v>
      </c>
      <c r="D337" s="15" t="s">
        <v>455</v>
      </c>
      <c r="E337" s="15">
        <v>1</v>
      </c>
      <c r="F337" s="15"/>
      <c r="G337" s="15"/>
    </row>
    <row r="338" spans="1:7" x14ac:dyDescent="0.2">
      <c r="A338" s="15" t="s">
        <v>111</v>
      </c>
      <c r="B338" s="15" t="s">
        <v>133</v>
      </c>
      <c r="C338" s="15" t="s">
        <v>398</v>
      </c>
      <c r="D338" s="15" t="s">
        <v>399</v>
      </c>
      <c r="E338" s="15">
        <v>4</v>
      </c>
      <c r="F338" s="15"/>
      <c r="G338" s="15"/>
    </row>
    <row r="339" spans="1:7" x14ac:dyDescent="0.2">
      <c r="A339" s="15" t="s">
        <v>111</v>
      </c>
      <c r="B339" s="15" t="s">
        <v>133</v>
      </c>
      <c r="C339" s="15" t="s">
        <v>459</v>
      </c>
      <c r="D339" s="15" t="s">
        <v>459</v>
      </c>
      <c r="E339" s="15">
        <v>2</v>
      </c>
      <c r="F339" s="15"/>
      <c r="G339" s="15"/>
    </row>
    <row r="340" spans="1:7" x14ac:dyDescent="0.2">
      <c r="A340" s="15" t="s">
        <v>111</v>
      </c>
      <c r="B340" s="15" t="s">
        <v>133</v>
      </c>
      <c r="C340" s="15" t="s">
        <v>390</v>
      </c>
      <c r="D340" s="15" t="s">
        <v>391</v>
      </c>
      <c r="E340" s="15">
        <v>1</v>
      </c>
      <c r="F340" s="15"/>
      <c r="G340" s="15"/>
    </row>
    <row r="341" spans="1:7" x14ac:dyDescent="0.2">
      <c r="A341" s="15" t="s">
        <v>111</v>
      </c>
      <c r="B341" s="15" t="s">
        <v>133</v>
      </c>
      <c r="C341" s="15" t="s">
        <v>386</v>
      </c>
      <c r="D341" s="15" t="s">
        <v>387</v>
      </c>
      <c r="E341" s="15">
        <v>1</v>
      </c>
      <c r="F341" s="15"/>
      <c r="G341" s="15"/>
    </row>
    <row r="342" spans="1:7" x14ac:dyDescent="0.2">
      <c r="A342" s="15" t="s">
        <v>112</v>
      </c>
      <c r="B342" s="15" t="s">
        <v>133</v>
      </c>
      <c r="C342" s="15" t="s">
        <v>406</v>
      </c>
      <c r="D342" s="15" t="s">
        <v>407</v>
      </c>
      <c r="E342" s="15">
        <v>1</v>
      </c>
      <c r="F342" s="15"/>
      <c r="G342" s="15"/>
    </row>
    <row r="343" spans="1:7" x14ac:dyDescent="0.2">
      <c r="A343" s="15" t="s">
        <v>112</v>
      </c>
      <c r="B343" s="15" t="s">
        <v>133</v>
      </c>
      <c r="C343" s="15" t="s">
        <v>386</v>
      </c>
      <c r="D343" s="15" t="s">
        <v>387</v>
      </c>
      <c r="E343" s="15">
        <v>1</v>
      </c>
      <c r="F343" s="15"/>
      <c r="G343" s="15"/>
    </row>
    <row r="344" spans="1:7" x14ac:dyDescent="0.2">
      <c r="A344" s="15" t="s">
        <v>112</v>
      </c>
      <c r="B344" s="15" t="s">
        <v>133</v>
      </c>
      <c r="C344" s="15" t="s">
        <v>398</v>
      </c>
      <c r="D344" s="15" t="s">
        <v>399</v>
      </c>
      <c r="E344" s="15">
        <v>3</v>
      </c>
      <c r="F344" s="15"/>
      <c r="G344" s="15"/>
    </row>
    <row r="345" spans="1:7" x14ac:dyDescent="0.2">
      <c r="A345" s="15" t="s">
        <v>112</v>
      </c>
      <c r="B345" s="15" t="s">
        <v>133</v>
      </c>
      <c r="C345" s="15" t="s">
        <v>388</v>
      </c>
      <c r="D345" s="15" t="s">
        <v>389</v>
      </c>
      <c r="E345" s="15">
        <v>1</v>
      </c>
      <c r="F345" s="15"/>
      <c r="G345" s="15"/>
    </row>
    <row r="346" spans="1:7" x14ac:dyDescent="0.2">
      <c r="A346" s="15" t="s">
        <v>112</v>
      </c>
      <c r="B346" s="15" t="s">
        <v>133</v>
      </c>
      <c r="C346" s="15" t="s">
        <v>390</v>
      </c>
      <c r="D346" s="15" t="s">
        <v>391</v>
      </c>
      <c r="E346" s="15">
        <v>1</v>
      </c>
      <c r="F346" s="15"/>
      <c r="G346" s="15"/>
    </row>
    <row r="347" spans="1:7" x14ac:dyDescent="0.2">
      <c r="A347" s="15" t="s">
        <v>112</v>
      </c>
      <c r="B347" s="15" t="s">
        <v>133</v>
      </c>
      <c r="C347" s="15" t="s">
        <v>431</v>
      </c>
      <c r="D347" s="15" t="s">
        <v>432</v>
      </c>
      <c r="E347" s="15">
        <v>1</v>
      </c>
      <c r="F347" s="15"/>
      <c r="G347" s="15"/>
    </row>
    <row r="348" spans="1:7" x14ac:dyDescent="0.2">
      <c r="A348" s="15" t="s">
        <v>112</v>
      </c>
      <c r="B348" s="15" t="s">
        <v>133</v>
      </c>
      <c r="C348" s="15" t="s">
        <v>413</v>
      </c>
      <c r="D348" s="15" t="s">
        <v>414</v>
      </c>
      <c r="E348" s="15" t="s">
        <v>412</v>
      </c>
      <c r="F348" s="15"/>
      <c r="G348" s="15"/>
    </row>
    <row r="349" spans="1:7" x14ac:dyDescent="0.2">
      <c r="A349" s="15" t="s">
        <v>112</v>
      </c>
      <c r="B349" s="15" t="s">
        <v>133</v>
      </c>
      <c r="C349" s="15" t="s">
        <v>421</v>
      </c>
      <c r="D349" s="15" t="s">
        <v>422</v>
      </c>
      <c r="E349" s="15">
        <v>1</v>
      </c>
      <c r="F349" s="15"/>
      <c r="G349" s="15"/>
    </row>
    <row r="350" spans="1:7" x14ac:dyDescent="0.2">
      <c r="A350" s="15" t="s">
        <v>112</v>
      </c>
      <c r="B350" s="15" t="s">
        <v>133</v>
      </c>
      <c r="C350" s="15" t="s">
        <v>396</v>
      </c>
      <c r="D350" s="15" t="s">
        <v>397</v>
      </c>
      <c r="E350" s="15">
        <v>2</v>
      </c>
      <c r="F350" s="15"/>
      <c r="G350" s="15"/>
    </row>
    <row r="351" spans="1:7" x14ac:dyDescent="0.2">
      <c r="A351" s="15" t="s">
        <v>114</v>
      </c>
      <c r="B351" s="15" t="s">
        <v>133</v>
      </c>
      <c r="C351" s="15" t="s">
        <v>406</v>
      </c>
      <c r="D351" s="15" t="s">
        <v>407</v>
      </c>
      <c r="E351" s="15">
        <v>2</v>
      </c>
      <c r="F351" s="15"/>
      <c r="G351" s="15"/>
    </row>
    <row r="352" spans="1:7" x14ac:dyDescent="0.2">
      <c r="A352" s="15" t="s">
        <v>114</v>
      </c>
      <c r="B352" s="15" t="s">
        <v>133</v>
      </c>
      <c r="C352" s="15" t="s">
        <v>384</v>
      </c>
      <c r="D352" s="15" t="s">
        <v>385</v>
      </c>
      <c r="E352" s="15">
        <v>1</v>
      </c>
      <c r="F352" s="15"/>
      <c r="G352" s="15"/>
    </row>
    <row r="353" spans="1:7" x14ac:dyDescent="0.2">
      <c r="A353" s="15" t="s">
        <v>114</v>
      </c>
      <c r="B353" s="15" t="s">
        <v>133</v>
      </c>
      <c r="C353" s="15" t="s">
        <v>394</v>
      </c>
      <c r="D353" s="15" t="s">
        <v>395</v>
      </c>
      <c r="E353" s="15">
        <v>2</v>
      </c>
      <c r="F353" s="15"/>
      <c r="G353" s="15"/>
    </row>
    <row r="354" spans="1:7" x14ac:dyDescent="0.2">
      <c r="A354" s="15" t="s">
        <v>114</v>
      </c>
      <c r="B354" s="15" t="s">
        <v>133</v>
      </c>
      <c r="C354" s="15" t="s">
        <v>398</v>
      </c>
      <c r="D354" s="15" t="s">
        <v>399</v>
      </c>
      <c r="E354" s="15">
        <v>2</v>
      </c>
      <c r="F354" s="15"/>
      <c r="G354" s="15"/>
    </row>
    <row r="355" spans="1:7" x14ac:dyDescent="0.2">
      <c r="A355" s="15" t="s">
        <v>114</v>
      </c>
      <c r="B355" s="15" t="s">
        <v>133</v>
      </c>
      <c r="C355" s="15" t="s">
        <v>482</v>
      </c>
      <c r="D355" s="15" t="s">
        <v>483</v>
      </c>
      <c r="E355" s="15">
        <v>2</v>
      </c>
      <c r="F355" s="15"/>
      <c r="G355" s="15"/>
    </row>
    <row r="356" spans="1:7" x14ac:dyDescent="0.2">
      <c r="A356" s="15" t="s">
        <v>114</v>
      </c>
      <c r="B356" s="15" t="s">
        <v>133</v>
      </c>
      <c r="C356" s="15" t="s">
        <v>446</v>
      </c>
      <c r="D356" s="15" t="s">
        <v>447</v>
      </c>
      <c r="E356" s="15">
        <v>1</v>
      </c>
      <c r="F356" s="15"/>
      <c r="G356" s="15"/>
    </row>
    <row r="357" spans="1:7" x14ac:dyDescent="0.2">
      <c r="A357" s="15" t="s">
        <v>114</v>
      </c>
      <c r="B357" s="15" t="s">
        <v>133</v>
      </c>
      <c r="C357" s="15" t="s">
        <v>390</v>
      </c>
      <c r="D357" s="15" t="s">
        <v>391</v>
      </c>
      <c r="E357" s="15">
        <v>1</v>
      </c>
      <c r="F357" s="15"/>
      <c r="G357" s="15"/>
    </row>
    <row r="358" spans="1:7" x14ac:dyDescent="0.2">
      <c r="A358" s="15" t="s">
        <v>116</v>
      </c>
      <c r="B358" s="15" t="s">
        <v>133</v>
      </c>
      <c r="C358" s="15" t="s">
        <v>384</v>
      </c>
      <c r="D358" s="15" t="s">
        <v>385</v>
      </c>
      <c r="E358" s="15">
        <v>2</v>
      </c>
      <c r="F358" s="15"/>
      <c r="G358" s="15"/>
    </row>
    <row r="359" spans="1:7" x14ac:dyDescent="0.2">
      <c r="A359" s="15" t="s">
        <v>116</v>
      </c>
      <c r="B359" s="15" t="s">
        <v>133</v>
      </c>
      <c r="C359" s="15" t="s">
        <v>390</v>
      </c>
      <c r="D359" s="15" t="s">
        <v>391</v>
      </c>
      <c r="E359" s="15">
        <v>1</v>
      </c>
      <c r="F359" s="15"/>
      <c r="G359" s="15"/>
    </row>
    <row r="360" spans="1:7" x14ac:dyDescent="0.2">
      <c r="A360" s="15" t="s">
        <v>116</v>
      </c>
      <c r="B360" s="15" t="s">
        <v>133</v>
      </c>
      <c r="C360" s="15" t="s">
        <v>440</v>
      </c>
      <c r="D360" s="15" t="s">
        <v>441</v>
      </c>
      <c r="E360" s="15">
        <v>1</v>
      </c>
      <c r="F360" s="15"/>
      <c r="G360" s="15"/>
    </row>
    <row r="361" spans="1:7" x14ac:dyDescent="0.2">
      <c r="A361" s="15" t="s">
        <v>116</v>
      </c>
      <c r="B361" s="15" t="s">
        <v>133</v>
      </c>
      <c r="C361" s="15" t="s">
        <v>421</v>
      </c>
      <c r="D361" s="15" t="s">
        <v>422</v>
      </c>
      <c r="E361" s="15">
        <v>3</v>
      </c>
      <c r="F361" s="15"/>
      <c r="G361" s="15"/>
    </row>
    <row r="362" spans="1:7" x14ac:dyDescent="0.2">
      <c r="A362" s="15" t="s">
        <v>116</v>
      </c>
      <c r="B362" s="15" t="s">
        <v>133</v>
      </c>
      <c r="C362" s="15" t="s">
        <v>484</v>
      </c>
      <c r="D362" s="15" t="s">
        <v>485</v>
      </c>
      <c r="E362" s="15">
        <v>1</v>
      </c>
      <c r="F362" s="15"/>
      <c r="G362" s="15"/>
    </row>
    <row r="363" spans="1:7" x14ac:dyDescent="0.2">
      <c r="A363" s="15" t="s">
        <v>117</v>
      </c>
      <c r="B363" s="15" t="s">
        <v>133</v>
      </c>
      <c r="C363" s="15" t="s">
        <v>406</v>
      </c>
      <c r="D363" s="15" t="s">
        <v>407</v>
      </c>
      <c r="E363" s="15">
        <v>2</v>
      </c>
      <c r="F363" s="15"/>
      <c r="G363" s="15"/>
    </row>
    <row r="364" spans="1:7" x14ac:dyDescent="0.2">
      <c r="A364" s="15" t="s">
        <v>117</v>
      </c>
      <c r="B364" s="15" t="s">
        <v>133</v>
      </c>
      <c r="C364" s="15" t="s">
        <v>384</v>
      </c>
      <c r="D364" s="15" t="s">
        <v>385</v>
      </c>
      <c r="E364" s="15">
        <v>2</v>
      </c>
      <c r="F364" s="15"/>
      <c r="G364" s="15"/>
    </row>
    <row r="365" spans="1:7" x14ac:dyDescent="0.2">
      <c r="A365" s="15" t="s">
        <v>117</v>
      </c>
      <c r="B365" s="15" t="s">
        <v>133</v>
      </c>
      <c r="C365" s="15" t="s">
        <v>488</v>
      </c>
      <c r="D365" s="15" t="s">
        <v>489</v>
      </c>
      <c r="E365" s="15">
        <v>2</v>
      </c>
      <c r="F365" s="15"/>
      <c r="G365" s="15"/>
    </row>
    <row r="366" spans="1:7" x14ac:dyDescent="0.2">
      <c r="A366" s="15" t="s">
        <v>117</v>
      </c>
      <c r="B366" s="15" t="s">
        <v>133</v>
      </c>
      <c r="C366" s="15" t="s">
        <v>398</v>
      </c>
      <c r="D366" s="15" t="s">
        <v>399</v>
      </c>
      <c r="E366" s="15">
        <v>3</v>
      </c>
      <c r="F366" s="15"/>
      <c r="G366" s="15"/>
    </row>
    <row r="367" spans="1:7" x14ac:dyDescent="0.2">
      <c r="A367" s="15" t="s">
        <v>117</v>
      </c>
      <c r="B367" s="15" t="s">
        <v>133</v>
      </c>
      <c r="C367" s="15" t="s">
        <v>394</v>
      </c>
      <c r="D367" s="15" t="s">
        <v>395</v>
      </c>
      <c r="E367" s="15">
        <v>2</v>
      </c>
      <c r="F367" s="15"/>
      <c r="G367" s="15"/>
    </row>
    <row r="368" spans="1:7" x14ac:dyDescent="0.2">
      <c r="A368" s="15" t="s">
        <v>119</v>
      </c>
      <c r="B368" s="15" t="s">
        <v>133</v>
      </c>
      <c r="C368" s="15" t="s">
        <v>406</v>
      </c>
      <c r="D368" s="15" t="s">
        <v>407</v>
      </c>
      <c r="E368" s="15">
        <v>2</v>
      </c>
      <c r="F368" s="15"/>
      <c r="G368" s="15"/>
    </row>
    <row r="369" spans="1:7" x14ac:dyDescent="0.2">
      <c r="A369" s="15" t="s">
        <v>119</v>
      </c>
      <c r="B369" s="15" t="s">
        <v>133</v>
      </c>
      <c r="C369" s="15" t="s">
        <v>398</v>
      </c>
      <c r="D369" s="15" t="s">
        <v>399</v>
      </c>
      <c r="E369" s="15">
        <v>2</v>
      </c>
      <c r="F369" s="15"/>
      <c r="G369" s="15"/>
    </row>
    <row r="370" spans="1:7" x14ac:dyDescent="0.2">
      <c r="A370" s="15" t="s">
        <v>119</v>
      </c>
      <c r="B370" s="15" t="s">
        <v>133</v>
      </c>
      <c r="C370" s="15" t="s">
        <v>460</v>
      </c>
      <c r="D370" s="15" t="s">
        <v>461</v>
      </c>
      <c r="E370" s="15">
        <v>2</v>
      </c>
      <c r="F370" s="15"/>
      <c r="G370" s="15"/>
    </row>
    <row r="371" spans="1:7" x14ac:dyDescent="0.2">
      <c r="A371" s="15" t="s">
        <v>119</v>
      </c>
      <c r="B371" s="15" t="s">
        <v>133</v>
      </c>
      <c r="C371" s="15" t="s">
        <v>382</v>
      </c>
      <c r="D371" s="15" t="s">
        <v>383</v>
      </c>
      <c r="E371" s="15">
        <v>1</v>
      </c>
      <c r="F371" s="15"/>
      <c r="G371" s="15"/>
    </row>
    <row r="372" spans="1:7" x14ac:dyDescent="0.2">
      <c r="A372" s="15" t="s">
        <v>119</v>
      </c>
      <c r="B372" s="15" t="s">
        <v>133</v>
      </c>
      <c r="C372" s="15" t="s">
        <v>386</v>
      </c>
      <c r="D372" s="15" t="s">
        <v>387</v>
      </c>
      <c r="E372" s="15">
        <v>2</v>
      </c>
      <c r="F372" s="15"/>
      <c r="G372" s="15"/>
    </row>
    <row r="373" spans="1:7" x14ac:dyDescent="0.2">
      <c r="A373" s="15" t="s">
        <v>119</v>
      </c>
      <c r="B373" s="15" t="s">
        <v>133</v>
      </c>
      <c r="C373" s="15" t="s">
        <v>384</v>
      </c>
      <c r="D373" s="15" t="s">
        <v>385</v>
      </c>
      <c r="E373" s="15">
        <v>1</v>
      </c>
      <c r="F373" s="15"/>
      <c r="G373" s="15"/>
    </row>
    <row r="374" spans="1:7" x14ac:dyDescent="0.2">
      <c r="A374" s="15" t="s">
        <v>120</v>
      </c>
      <c r="B374" s="15" t="s">
        <v>133</v>
      </c>
      <c r="C374" s="15" t="s">
        <v>460</v>
      </c>
      <c r="D374" s="15" t="s">
        <v>461</v>
      </c>
      <c r="E374" s="15">
        <v>2</v>
      </c>
      <c r="F374" s="15"/>
      <c r="G374" s="15"/>
    </row>
    <row r="375" spans="1:7" x14ac:dyDescent="0.2">
      <c r="A375" s="15" t="s">
        <v>120</v>
      </c>
      <c r="B375" s="15" t="s">
        <v>133</v>
      </c>
      <c r="C375" s="15" t="s">
        <v>492</v>
      </c>
      <c r="D375" s="15" t="s">
        <v>493</v>
      </c>
      <c r="E375" s="15">
        <v>4</v>
      </c>
      <c r="F375" s="15"/>
      <c r="G375" s="15"/>
    </row>
    <row r="376" spans="1:7" x14ac:dyDescent="0.2">
      <c r="A376" s="15" t="s">
        <v>120</v>
      </c>
      <c r="B376" s="15" t="s">
        <v>133</v>
      </c>
      <c r="C376" s="15" t="s">
        <v>406</v>
      </c>
      <c r="D376" s="15" t="s">
        <v>407</v>
      </c>
      <c r="E376" s="15">
        <v>2</v>
      </c>
      <c r="F376" s="15"/>
      <c r="G376" s="15"/>
    </row>
    <row r="377" spans="1:7" x14ac:dyDescent="0.2">
      <c r="A377" s="15" t="s">
        <v>120</v>
      </c>
      <c r="B377" s="15" t="s">
        <v>133</v>
      </c>
      <c r="C377" s="15" t="s">
        <v>386</v>
      </c>
      <c r="D377" s="15" t="s">
        <v>387</v>
      </c>
      <c r="E377" s="15">
        <v>2</v>
      </c>
      <c r="F377" s="15"/>
      <c r="G377" s="15"/>
    </row>
    <row r="378" spans="1:7" x14ac:dyDescent="0.2">
      <c r="A378" s="15" t="s">
        <v>120</v>
      </c>
      <c r="B378" s="15" t="s">
        <v>133</v>
      </c>
      <c r="C378" s="15" t="s">
        <v>400</v>
      </c>
      <c r="D378" s="15" t="s">
        <v>401</v>
      </c>
      <c r="E378" s="15" t="s">
        <v>412</v>
      </c>
      <c r="F378" s="15"/>
      <c r="G378" s="15"/>
    </row>
    <row r="379" spans="1:7" x14ac:dyDescent="0.2">
      <c r="A379" s="15" t="s">
        <v>120</v>
      </c>
      <c r="B379" s="15" t="s">
        <v>133</v>
      </c>
      <c r="C379" s="15" t="s">
        <v>398</v>
      </c>
      <c r="D379" s="15" t="s">
        <v>399</v>
      </c>
      <c r="E379" s="15">
        <v>2</v>
      </c>
      <c r="F379" s="15"/>
      <c r="G379" s="15"/>
    </row>
    <row r="380" spans="1:7" x14ac:dyDescent="0.2">
      <c r="A380" s="15" t="s">
        <v>120</v>
      </c>
      <c r="B380" s="15" t="s">
        <v>133</v>
      </c>
      <c r="C380" s="15" t="s">
        <v>394</v>
      </c>
      <c r="D380" s="15" t="s">
        <v>395</v>
      </c>
      <c r="E380" s="15">
        <v>2</v>
      </c>
      <c r="F380" s="15"/>
      <c r="G380" s="15"/>
    </row>
    <row r="381" spans="1:7" x14ac:dyDescent="0.2">
      <c r="A381" s="15" t="s">
        <v>122</v>
      </c>
      <c r="B381" s="15" t="s">
        <v>133</v>
      </c>
      <c r="C381" s="15" t="s">
        <v>488</v>
      </c>
      <c r="D381" s="15" t="s">
        <v>489</v>
      </c>
      <c r="E381" s="15">
        <v>2</v>
      </c>
      <c r="F381" s="15"/>
      <c r="G381" s="15"/>
    </row>
    <row r="382" spans="1:7" x14ac:dyDescent="0.2">
      <c r="A382" s="15" t="s">
        <v>122</v>
      </c>
      <c r="B382" s="15" t="s">
        <v>133</v>
      </c>
      <c r="C382" s="15" t="s">
        <v>460</v>
      </c>
      <c r="D382" s="15" t="s">
        <v>461</v>
      </c>
      <c r="E382" s="15">
        <v>2</v>
      </c>
      <c r="F382" s="15"/>
      <c r="G382" s="15"/>
    </row>
    <row r="383" spans="1:7" x14ac:dyDescent="0.2">
      <c r="A383" s="15" t="s">
        <v>122</v>
      </c>
      <c r="B383" s="15" t="s">
        <v>133</v>
      </c>
      <c r="C383" s="15" t="s">
        <v>382</v>
      </c>
      <c r="D383" s="15" t="s">
        <v>383</v>
      </c>
      <c r="E383" s="15">
        <v>2</v>
      </c>
      <c r="F383" s="15"/>
      <c r="G383" s="15"/>
    </row>
    <row r="384" spans="1:7" x14ac:dyDescent="0.2">
      <c r="A384" s="15" t="s">
        <v>122</v>
      </c>
      <c r="B384" s="15" t="s">
        <v>133</v>
      </c>
      <c r="C384" s="15" t="s">
        <v>406</v>
      </c>
      <c r="D384" s="15" t="s">
        <v>407</v>
      </c>
      <c r="E384" s="15">
        <v>2</v>
      </c>
      <c r="F384" s="15"/>
      <c r="G384" s="15"/>
    </row>
    <row r="385" spans="1:7" x14ac:dyDescent="0.2">
      <c r="A385" s="15" t="s">
        <v>122</v>
      </c>
      <c r="B385" s="15" t="s">
        <v>133</v>
      </c>
      <c r="C385" s="15" t="s">
        <v>494</v>
      </c>
      <c r="D385" s="15" t="s">
        <v>494</v>
      </c>
      <c r="E385" s="15">
        <v>3</v>
      </c>
      <c r="F385" s="15"/>
      <c r="G385" s="15"/>
    </row>
    <row r="386" spans="1:7" x14ac:dyDescent="0.2">
      <c r="A386" s="15" t="s">
        <v>122</v>
      </c>
      <c r="B386" s="15" t="s">
        <v>133</v>
      </c>
      <c r="C386" s="15" t="s">
        <v>444</v>
      </c>
      <c r="D386" s="15" t="s">
        <v>445</v>
      </c>
      <c r="E386" s="15">
        <v>1</v>
      </c>
      <c r="F386" s="15"/>
      <c r="G386" s="15"/>
    </row>
    <row r="387" spans="1:7" x14ac:dyDescent="0.2">
      <c r="A387" s="15" t="s">
        <v>122</v>
      </c>
      <c r="B387" s="15" t="s">
        <v>133</v>
      </c>
      <c r="C387" s="15" t="s">
        <v>454</v>
      </c>
      <c r="D387" s="15" t="s">
        <v>455</v>
      </c>
      <c r="E387" s="15">
        <v>1</v>
      </c>
      <c r="F387" s="15"/>
      <c r="G387" s="15"/>
    </row>
    <row r="388" spans="1:7" x14ac:dyDescent="0.2">
      <c r="A388" s="15" t="s">
        <v>122</v>
      </c>
      <c r="B388" s="15" t="s">
        <v>133</v>
      </c>
      <c r="C388" s="15" t="s">
        <v>384</v>
      </c>
      <c r="D388" s="15" t="s">
        <v>385</v>
      </c>
      <c r="E388" s="15">
        <v>1</v>
      </c>
      <c r="F388" s="15"/>
      <c r="G388" s="15"/>
    </row>
    <row r="389" spans="1:7" x14ac:dyDescent="0.2">
      <c r="A389" s="15" t="s">
        <v>122</v>
      </c>
      <c r="B389" s="15" t="s">
        <v>133</v>
      </c>
      <c r="C389" s="15" t="s">
        <v>398</v>
      </c>
      <c r="D389" s="15" t="s">
        <v>399</v>
      </c>
      <c r="E389" s="15">
        <v>2</v>
      </c>
      <c r="F389" s="15"/>
      <c r="G389" s="15"/>
    </row>
    <row r="390" spans="1:7" x14ac:dyDescent="0.2">
      <c r="A390" s="15" t="s">
        <v>123</v>
      </c>
      <c r="B390" s="15" t="s">
        <v>133</v>
      </c>
      <c r="C390" s="15" t="s">
        <v>406</v>
      </c>
      <c r="D390" s="15" t="s">
        <v>407</v>
      </c>
      <c r="E390" s="15">
        <v>3</v>
      </c>
      <c r="F390" s="15"/>
      <c r="G390" s="15"/>
    </row>
    <row r="391" spans="1:7" x14ac:dyDescent="0.2">
      <c r="A391" s="15" t="s">
        <v>123</v>
      </c>
      <c r="B391" s="15" t="s">
        <v>133</v>
      </c>
      <c r="C391" s="15" t="s">
        <v>466</v>
      </c>
      <c r="D391" s="15" t="s">
        <v>467</v>
      </c>
      <c r="E391" s="15">
        <v>2</v>
      </c>
      <c r="F391" s="15"/>
      <c r="G391" s="15"/>
    </row>
    <row r="392" spans="1:7" x14ac:dyDescent="0.2">
      <c r="A392" s="15" t="s">
        <v>123</v>
      </c>
      <c r="B392" s="15" t="s">
        <v>133</v>
      </c>
      <c r="C392" s="15" t="s">
        <v>398</v>
      </c>
      <c r="D392" s="15" t="s">
        <v>399</v>
      </c>
      <c r="E392" s="15">
        <v>3</v>
      </c>
      <c r="F392" s="15"/>
      <c r="G392" s="15"/>
    </row>
    <row r="393" spans="1:7" x14ac:dyDescent="0.2">
      <c r="A393" s="15" t="s">
        <v>123</v>
      </c>
      <c r="B393" s="15" t="s">
        <v>133</v>
      </c>
      <c r="C393" s="15" t="s">
        <v>495</v>
      </c>
      <c r="D393" s="15" t="s">
        <v>496</v>
      </c>
      <c r="E393" s="15">
        <v>1</v>
      </c>
      <c r="F393" s="15"/>
      <c r="G393" s="15"/>
    </row>
    <row r="394" spans="1:7" x14ac:dyDescent="0.2">
      <c r="A394" s="15" t="s">
        <v>123</v>
      </c>
      <c r="B394" s="15" t="s">
        <v>133</v>
      </c>
      <c r="C394" s="15" t="s">
        <v>488</v>
      </c>
      <c r="D394" s="15" t="s">
        <v>489</v>
      </c>
      <c r="E394" s="15">
        <v>1</v>
      </c>
      <c r="F394" s="15"/>
      <c r="G394" s="15"/>
    </row>
    <row r="395" spans="1:7" x14ac:dyDescent="0.2">
      <c r="A395" s="15" t="s">
        <v>123</v>
      </c>
      <c r="B395" s="15" t="s">
        <v>133</v>
      </c>
      <c r="C395" s="15" t="s">
        <v>494</v>
      </c>
      <c r="D395" s="15" t="s">
        <v>494</v>
      </c>
      <c r="E395" s="15">
        <v>2</v>
      </c>
      <c r="F395" s="15"/>
      <c r="G395" s="15"/>
    </row>
    <row r="396" spans="1:7" x14ac:dyDescent="0.2">
      <c r="A396" s="15" t="s">
        <v>123</v>
      </c>
      <c r="B396" s="15" t="s">
        <v>133</v>
      </c>
      <c r="C396" s="15" t="s">
        <v>384</v>
      </c>
      <c r="D396" s="15" t="s">
        <v>385</v>
      </c>
      <c r="E396" s="15">
        <v>1</v>
      </c>
      <c r="F396" s="15"/>
      <c r="G396" s="15"/>
    </row>
    <row r="397" spans="1:7" x14ac:dyDescent="0.2">
      <c r="A397" s="15" t="s">
        <v>123</v>
      </c>
      <c r="B397" s="15" t="s">
        <v>133</v>
      </c>
      <c r="C397" s="15" t="s">
        <v>446</v>
      </c>
      <c r="D397" s="15" t="s">
        <v>447</v>
      </c>
      <c r="E397" s="15" t="s">
        <v>412</v>
      </c>
      <c r="F397" s="15"/>
      <c r="G397" s="15"/>
    </row>
    <row r="398" spans="1:7" x14ac:dyDescent="0.2">
      <c r="A398" s="15" t="s">
        <v>123</v>
      </c>
      <c r="B398" s="15" t="s">
        <v>133</v>
      </c>
      <c r="C398" s="15" t="s">
        <v>460</v>
      </c>
      <c r="D398" s="15" t="s">
        <v>461</v>
      </c>
      <c r="E398" s="15">
        <v>1</v>
      </c>
      <c r="F398" s="15"/>
      <c r="G398" s="15"/>
    </row>
    <row r="399" spans="1:7" x14ac:dyDescent="0.2">
      <c r="A399" s="15" t="s">
        <v>125</v>
      </c>
      <c r="B399" s="15" t="s">
        <v>133</v>
      </c>
      <c r="C399" s="15" t="s">
        <v>406</v>
      </c>
      <c r="D399" s="15" t="s">
        <v>407</v>
      </c>
      <c r="E399" s="15">
        <v>2</v>
      </c>
      <c r="F399" s="15"/>
      <c r="G399" s="15"/>
    </row>
    <row r="400" spans="1:7" x14ac:dyDescent="0.2">
      <c r="A400" s="15" t="s">
        <v>125</v>
      </c>
      <c r="B400" s="15" t="s">
        <v>133</v>
      </c>
      <c r="C400" s="15" t="s">
        <v>398</v>
      </c>
      <c r="D400" s="15" t="s">
        <v>399</v>
      </c>
      <c r="E400" s="15">
        <v>4</v>
      </c>
      <c r="F400" s="15"/>
      <c r="G400" s="15"/>
    </row>
    <row r="401" spans="1:7" x14ac:dyDescent="0.2">
      <c r="A401" s="15" t="s">
        <v>125</v>
      </c>
      <c r="B401" s="15" t="s">
        <v>133</v>
      </c>
      <c r="C401" s="15" t="s">
        <v>386</v>
      </c>
      <c r="D401" s="15" t="s">
        <v>387</v>
      </c>
      <c r="E401" s="15">
        <v>1</v>
      </c>
      <c r="F401" s="15"/>
      <c r="G401" s="15"/>
    </row>
    <row r="402" spans="1:7" x14ac:dyDescent="0.2">
      <c r="A402" s="15" t="s">
        <v>126</v>
      </c>
      <c r="B402" s="15" t="s">
        <v>133</v>
      </c>
      <c r="C402" s="15" t="s">
        <v>406</v>
      </c>
      <c r="D402" s="15" t="s">
        <v>407</v>
      </c>
      <c r="E402" s="15">
        <v>2</v>
      </c>
      <c r="F402" s="15"/>
      <c r="G402" s="15"/>
    </row>
    <row r="403" spans="1:7" x14ac:dyDescent="0.2">
      <c r="A403" s="15" t="s">
        <v>126</v>
      </c>
      <c r="B403" s="15" t="s">
        <v>133</v>
      </c>
      <c r="C403" s="15" t="s">
        <v>386</v>
      </c>
      <c r="D403" s="15" t="s">
        <v>387</v>
      </c>
      <c r="E403" s="15">
        <v>2</v>
      </c>
      <c r="F403" s="15"/>
      <c r="G403" s="15"/>
    </row>
    <row r="404" spans="1:7" x14ac:dyDescent="0.2">
      <c r="A404" s="15" t="s">
        <v>126</v>
      </c>
      <c r="B404" s="15" t="s">
        <v>133</v>
      </c>
      <c r="C404" s="15" t="s">
        <v>402</v>
      </c>
      <c r="D404" s="15" t="s">
        <v>403</v>
      </c>
      <c r="E404" s="15" t="s">
        <v>412</v>
      </c>
      <c r="F404" s="15"/>
      <c r="G404" s="15"/>
    </row>
    <row r="405" spans="1:7" x14ac:dyDescent="0.2">
      <c r="A405" s="15" t="s">
        <v>126</v>
      </c>
      <c r="B405" s="15" t="s">
        <v>133</v>
      </c>
      <c r="C405" s="15" t="s">
        <v>388</v>
      </c>
      <c r="D405" s="15" t="s">
        <v>389</v>
      </c>
      <c r="E405" s="15">
        <v>1</v>
      </c>
      <c r="F405" s="15"/>
      <c r="G405" s="15"/>
    </row>
    <row r="406" spans="1:7" x14ac:dyDescent="0.2">
      <c r="A406" s="15" t="s">
        <v>126</v>
      </c>
      <c r="B406" s="15" t="s">
        <v>133</v>
      </c>
      <c r="C406" s="15" t="s">
        <v>459</v>
      </c>
      <c r="D406" s="15" t="s">
        <v>459</v>
      </c>
      <c r="E406" s="15">
        <v>2</v>
      </c>
      <c r="F406" s="15"/>
      <c r="G406" s="15"/>
    </row>
    <row r="407" spans="1:7" x14ac:dyDescent="0.2">
      <c r="A407" s="15" t="s">
        <v>126</v>
      </c>
      <c r="B407" s="15" t="s">
        <v>133</v>
      </c>
      <c r="C407" s="15" t="s">
        <v>472</v>
      </c>
      <c r="D407" s="15" t="s">
        <v>473</v>
      </c>
      <c r="E407" s="15" t="s">
        <v>412</v>
      </c>
      <c r="F407" s="15"/>
      <c r="G407" s="15"/>
    </row>
    <row r="408" spans="1:7" x14ac:dyDescent="0.2">
      <c r="A408" s="15" t="s">
        <v>126</v>
      </c>
      <c r="B408" s="15" t="s">
        <v>133</v>
      </c>
      <c r="C408" s="15" t="s">
        <v>504</v>
      </c>
      <c r="D408" s="15" t="s">
        <v>505</v>
      </c>
      <c r="E408" s="15" t="s">
        <v>412</v>
      </c>
      <c r="F408" s="15"/>
      <c r="G408" s="15"/>
    </row>
    <row r="409" spans="1:7" x14ac:dyDescent="0.2">
      <c r="A409" s="15" t="s">
        <v>126</v>
      </c>
      <c r="B409" s="15" t="s">
        <v>133</v>
      </c>
      <c r="C409" s="15" t="s">
        <v>396</v>
      </c>
      <c r="D409" s="15" t="s">
        <v>397</v>
      </c>
      <c r="E409" s="15">
        <v>2</v>
      </c>
      <c r="F409" s="15"/>
      <c r="G409" s="15"/>
    </row>
    <row r="410" spans="1:7" x14ac:dyDescent="0.2">
      <c r="A410" s="15" t="s">
        <v>127</v>
      </c>
      <c r="B410" s="15" t="s">
        <v>133</v>
      </c>
      <c r="C410" s="15" t="s">
        <v>404</v>
      </c>
      <c r="D410" s="15" t="s">
        <v>405</v>
      </c>
      <c r="E410" s="15">
        <v>2</v>
      </c>
      <c r="F410" s="15"/>
      <c r="G410" s="15"/>
    </row>
    <row r="411" spans="1:7" x14ac:dyDescent="0.2">
      <c r="A411" s="15" t="s">
        <v>127</v>
      </c>
      <c r="B411" s="15" t="s">
        <v>133</v>
      </c>
      <c r="C411" s="15" t="s">
        <v>406</v>
      </c>
      <c r="D411" s="15" t="s">
        <v>407</v>
      </c>
      <c r="E411" s="15">
        <v>2</v>
      </c>
      <c r="F411" s="15"/>
      <c r="G411" s="15"/>
    </row>
    <row r="412" spans="1:7" x14ac:dyDescent="0.2">
      <c r="A412" s="15" t="s">
        <v>127</v>
      </c>
      <c r="B412" s="15" t="s">
        <v>133</v>
      </c>
      <c r="C412" s="15" t="s">
        <v>386</v>
      </c>
      <c r="D412" s="15" t="s">
        <v>387</v>
      </c>
      <c r="E412" s="15">
        <v>2</v>
      </c>
      <c r="F412" s="15"/>
      <c r="G412" s="15"/>
    </row>
    <row r="413" spans="1:7" x14ac:dyDescent="0.2">
      <c r="A413" s="15" t="s">
        <v>127</v>
      </c>
      <c r="B413" s="15" t="s">
        <v>133</v>
      </c>
      <c r="C413" s="15" t="s">
        <v>390</v>
      </c>
      <c r="D413" s="15" t="s">
        <v>391</v>
      </c>
      <c r="E413" s="15">
        <v>1</v>
      </c>
      <c r="F413" s="15"/>
      <c r="G413" s="15"/>
    </row>
    <row r="414" spans="1:7" x14ac:dyDescent="0.2">
      <c r="A414" s="15" t="s">
        <v>127</v>
      </c>
      <c r="B414" s="15" t="s">
        <v>133</v>
      </c>
      <c r="C414" s="15" t="s">
        <v>413</v>
      </c>
      <c r="D414" s="15" t="s">
        <v>414</v>
      </c>
      <c r="E414" s="15" t="s">
        <v>412</v>
      </c>
      <c r="F414" s="15"/>
      <c r="G414" s="15"/>
    </row>
    <row r="415" spans="1:7" x14ac:dyDescent="0.2">
      <c r="A415" s="15" t="s">
        <v>127</v>
      </c>
      <c r="B415" s="15" t="s">
        <v>133</v>
      </c>
      <c r="C415" s="15" t="s">
        <v>459</v>
      </c>
      <c r="D415" s="15" t="s">
        <v>459</v>
      </c>
      <c r="E415" s="15">
        <v>1</v>
      </c>
      <c r="F415" s="15"/>
      <c r="G415" s="15"/>
    </row>
    <row r="416" spans="1:7" x14ac:dyDescent="0.2">
      <c r="A416" s="15" t="s">
        <v>127</v>
      </c>
      <c r="B416" s="15" t="s">
        <v>133</v>
      </c>
      <c r="C416" s="15" t="s">
        <v>504</v>
      </c>
      <c r="D416" s="15" t="s">
        <v>505</v>
      </c>
      <c r="E416" s="15">
        <v>1</v>
      </c>
      <c r="F416" s="15"/>
      <c r="G416" s="15"/>
    </row>
    <row r="417" spans="1:7" x14ac:dyDescent="0.2">
      <c r="A417" s="15" t="s">
        <v>128</v>
      </c>
      <c r="B417" s="15" t="s">
        <v>133</v>
      </c>
      <c r="C417" s="15" t="s">
        <v>406</v>
      </c>
      <c r="D417" s="15" t="s">
        <v>407</v>
      </c>
      <c r="E417" s="15">
        <v>2</v>
      </c>
      <c r="F417" s="15"/>
      <c r="G417" s="15"/>
    </row>
    <row r="418" spans="1:7" x14ac:dyDescent="0.2">
      <c r="A418" s="15" t="s">
        <v>128</v>
      </c>
      <c r="B418" s="15" t="s">
        <v>133</v>
      </c>
      <c r="C418" s="15" t="s">
        <v>504</v>
      </c>
      <c r="D418" s="15" t="s">
        <v>505</v>
      </c>
      <c r="E418" s="15">
        <v>2</v>
      </c>
      <c r="F418" s="15"/>
      <c r="G418" s="15"/>
    </row>
    <row r="419" spans="1:7" x14ac:dyDescent="0.2">
      <c r="A419" s="15" t="s">
        <v>128</v>
      </c>
      <c r="B419" s="15" t="s">
        <v>133</v>
      </c>
      <c r="C419" s="15" t="s">
        <v>503</v>
      </c>
      <c r="D419" s="15" t="s">
        <v>503</v>
      </c>
      <c r="E419" s="15">
        <v>2</v>
      </c>
      <c r="F419" s="15"/>
      <c r="G419" s="15"/>
    </row>
    <row r="420" spans="1:7" x14ac:dyDescent="0.2">
      <c r="A420" s="15" t="s">
        <v>128</v>
      </c>
      <c r="B420" s="15" t="s">
        <v>133</v>
      </c>
      <c r="C420" s="15" t="s">
        <v>440</v>
      </c>
      <c r="D420" s="15" t="s">
        <v>441</v>
      </c>
      <c r="E420" s="15">
        <v>1</v>
      </c>
      <c r="F420" s="15"/>
      <c r="G420" s="15"/>
    </row>
    <row r="421" spans="1:7" x14ac:dyDescent="0.2">
      <c r="A421" s="15" t="s">
        <v>128</v>
      </c>
      <c r="B421" s="15" t="s">
        <v>133</v>
      </c>
      <c r="C421" s="15" t="s">
        <v>506</v>
      </c>
      <c r="D421" s="15" t="s">
        <v>507</v>
      </c>
      <c r="E421" s="15">
        <v>1</v>
      </c>
      <c r="F421" s="15"/>
      <c r="G421" s="15"/>
    </row>
    <row r="422" spans="1:7" x14ac:dyDescent="0.2">
      <c r="A422" s="15" t="s">
        <v>128</v>
      </c>
      <c r="B422" s="15" t="s">
        <v>133</v>
      </c>
      <c r="C422" s="15" t="s">
        <v>388</v>
      </c>
      <c r="D422" s="15" t="s">
        <v>389</v>
      </c>
      <c r="E422" s="15">
        <v>1</v>
      </c>
      <c r="F422" s="15"/>
      <c r="G422" s="15"/>
    </row>
    <row r="423" spans="1:7" x14ac:dyDescent="0.2">
      <c r="A423" s="15" t="s">
        <v>128</v>
      </c>
      <c r="B423" s="15" t="s">
        <v>133</v>
      </c>
      <c r="C423" s="15" t="s">
        <v>413</v>
      </c>
      <c r="D423" s="15" t="s">
        <v>414</v>
      </c>
      <c r="E423" s="15" t="s">
        <v>412</v>
      </c>
      <c r="F423" s="15"/>
      <c r="G423" s="15"/>
    </row>
    <row r="424" spans="1:7" x14ac:dyDescent="0.2">
      <c r="A424" s="15" t="s">
        <v>128</v>
      </c>
      <c r="B424" s="15" t="s">
        <v>133</v>
      </c>
      <c r="C424" s="15" t="s">
        <v>404</v>
      </c>
      <c r="D424" s="15" t="s">
        <v>405</v>
      </c>
      <c r="E424" s="15">
        <v>1</v>
      </c>
      <c r="F424" s="15"/>
      <c r="G424" s="15"/>
    </row>
    <row r="425" spans="1:7" x14ac:dyDescent="0.2">
      <c r="A425" s="15" t="s">
        <v>128</v>
      </c>
      <c r="B425" s="15" t="s">
        <v>133</v>
      </c>
      <c r="C425" s="15" t="s">
        <v>459</v>
      </c>
      <c r="D425" s="15" t="s">
        <v>459</v>
      </c>
      <c r="E425" s="15">
        <v>1</v>
      </c>
      <c r="F425" s="15"/>
      <c r="G425" s="15"/>
    </row>
    <row r="426" spans="1:7" x14ac:dyDescent="0.2">
      <c r="A426" s="15" t="s">
        <v>129</v>
      </c>
      <c r="B426" s="15" t="s">
        <v>133</v>
      </c>
      <c r="C426" s="15" t="s">
        <v>423</v>
      </c>
      <c r="D426" s="15" t="s">
        <v>424</v>
      </c>
      <c r="E426" s="15">
        <v>2</v>
      </c>
      <c r="F426" s="15"/>
      <c r="G426" s="15"/>
    </row>
    <row r="427" spans="1:7" x14ac:dyDescent="0.2">
      <c r="A427" s="15" t="s">
        <v>129</v>
      </c>
      <c r="B427" s="15" t="s">
        <v>133</v>
      </c>
      <c r="C427" s="15" t="s">
        <v>386</v>
      </c>
      <c r="D427" s="15" t="s">
        <v>387</v>
      </c>
      <c r="E427" s="15">
        <v>2</v>
      </c>
      <c r="F427" s="15"/>
      <c r="G427" s="15"/>
    </row>
    <row r="428" spans="1:7" x14ac:dyDescent="0.2">
      <c r="A428" s="15" t="s">
        <v>129</v>
      </c>
      <c r="B428" s="15" t="s">
        <v>133</v>
      </c>
      <c r="C428" s="15" t="s">
        <v>404</v>
      </c>
      <c r="D428" s="15" t="s">
        <v>405</v>
      </c>
      <c r="E428" s="15">
        <v>1</v>
      </c>
      <c r="F428" s="15"/>
      <c r="G428" s="15"/>
    </row>
    <row r="429" spans="1:7" x14ac:dyDescent="0.2">
      <c r="A429" s="15" t="s">
        <v>129</v>
      </c>
      <c r="B429" s="15" t="s">
        <v>133</v>
      </c>
      <c r="C429" s="15" t="s">
        <v>406</v>
      </c>
      <c r="D429" s="15" t="s">
        <v>407</v>
      </c>
      <c r="E429" s="15">
        <v>2</v>
      </c>
      <c r="F429" s="15"/>
      <c r="G429" s="15"/>
    </row>
    <row r="430" spans="1:7" x14ac:dyDescent="0.2">
      <c r="A430" s="15" t="s">
        <v>129</v>
      </c>
      <c r="B430" s="15" t="s">
        <v>133</v>
      </c>
      <c r="C430" s="15" t="s">
        <v>508</v>
      </c>
      <c r="D430" s="15" t="s">
        <v>509</v>
      </c>
      <c r="E430" s="15" t="s">
        <v>412</v>
      </c>
      <c r="F430" s="15"/>
      <c r="G430" s="15"/>
    </row>
    <row r="431" spans="1:7" x14ac:dyDescent="0.2">
      <c r="A431" s="15" t="s">
        <v>129</v>
      </c>
      <c r="B431" s="15" t="s">
        <v>133</v>
      </c>
      <c r="C431" s="15" t="s">
        <v>480</v>
      </c>
      <c r="D431" s="15" t="s">
        <v>481</v>
      </c>
      <c r="E431" s="15" t="s">
        <v>412</v>
      </c>
      <c r="F431" s="15"/>
      <c r="G431" s="15"/>
    </row>
    <row r="432" spans="1:7" x14ac:dyDescent="0.2">
      <c r="A432" s="15" t="s">
        <v>130</v>
      </c>
      <c r="B432" s="15" t="s">
        <v>133</v>
      </c>
      <c r="C432" s="15" t="s">
        <v>423</v>
      </c>
      <c r="D432" s="15" t="s">
        <v>424</v>
      </c>
      <c r="E432" s="15">
        <v>2</v>
      </c>
      <c r="F432" s="15"/>
      <c r="G432" s="15"/>
    </row>
    <row r="433" spans="1:7" x14ac:dyDescent="0.2">
      <c r="A433" s="15" t="s">
        <v>130</v>
      </c>
      <c r="B433" s="15" t="s">
        <v>133</v>
      </c>
      <c r="C433" s="15" t="s">
        <v>484</v>
      </c>
      <c r="D433" s="15" t="s">
        <v>485</v>
      </c>
      <c r="E433" s="15">
        <v>1</v>
      </c>
      <c r="F433" s="15"/>
      <c r="G433" s="15"/>
    </row>
    <row r="434" spans="1:7" x14ac:dyDescent="0.2">
      <c r="A434" s="15" t="s">
        <v>130</v>
      </c>
      <c r="B434" s="15" t="s">
        <v>133</v>
      </c>
      <c r="C434" s="15" t="s">
        <v>388</v>
      </c>
      <c r="D434" s="15" t="s">
        <v>389</v>
      </c>
      <c r="E434" s="15">
        <v>2</v>
      </c>
      <c r="F434" s="15"/>
      <c r="G434" s="15"/>
    </row>
    <row r="435" spans="1:7" x14ac:dyDescent="0.2">
      <c r="A435" s="15" t="s">
        <v>130</v>
      </c>
      <c r="B435" s="15" t="s">
        <v>133</v>
      </c>
      <c r="C435" s="15" t="s">
        <v>386</v>
      </c>
      <c r="D435" s="15" t="s">
        <v>387</v>
      </c>
      <c r="E435" s="15">
        <v>1</v>
      </c>
      <c r="F435" s="15"/>
      <c r="G435" s="15"/>
    </row>
    <row r="436" spans="1:7" x14ac:dyDescent="0.2">
      <c r="A436" s="15" t="s">
        <v>130</v>
      </c>
      <c r="B436" s="15" t="s">
        <v>133</v>
      </c>
      <c r="C436" s="15" t="s">
        <v>444</v>
      </c>
      <c r="D436" s="15" t="s">
        <v>445</v>
      </c>
      <c r="E436" s="15">
        <v>2</v>
      </c>
      <c r="F436" s="15"/>
      <c r="G436" s="15"/>
    </row>
    <row r="437" spans="1:7" x14ac:dyDescent="0.2">
      <c r="A437" s="15" t="s">
        <v>130</v>
      </c>
      <c r="B437" s="15" t="s">
        <v>133</v>
      </c>
      <c r="C437" s="15" t="s">
        <v>406</v>
      </c>
      <c r="D437" s="15" t="s">
        <v>407</v>
      </c>
      <c r="E437" s="15">
        <v>1</v>
      </c>
      <c r="F437" s="15"/>
      <c r="G437" s="15"/>
    </row>
    <row r="438" spans="1:7" x14ac:dyDescent="0.2">
      <c r="A438" s="15" t="s">
        <v>131</v>
      </c>
      <c r="B438" s="15" t="s">
        <v>133</v>
      </c>
      <c r="C438" s="15" t="s">
        <v>423</v>
      </c>
      <c r="D438" s="15" t="s">
        <v>424</v>
      </c>
      <c r="E438" s="15">
        <v>3</v>
      </c>
      <c r="F438" s="15"/>
      <c r="G438" s="15"/>
    </row>
    <row r="439" spans="1:7" x14ac:dyDescent="0.2">
      <c r="A439" s="15" t="s">
        <v>131</v>
      </c>
      <c r="B439" s="15" t="s">
        <v>133</v>
      </c>
      <c r="C439" s="15" t="s">
        <v>386</v>
      </c>
      <c r="D439" s="15" t="s">
        <v>387</v>
      </c>
      <c r="E439" s="15">
        <v>2</v>
      </c>
      <c r="F439" s="15"/>
      <c r="G439" s="15"/>
    </row>
    <row r="440" spans="1:7" x14ac:dyDescent="0.2">
      <c r="A440" s="15" t="s">
        <v>131</v>
      </c>
      <c r="B440" s="15" t="s">
        <v>133</v>
      </c>
      <c r="C440" s="15" t="s">
        <v>388</v>
      </c>
      <c r="D440" s="15" t="s">
        <v>389</v>
      </c>
      <c r="E440" s="15">
        <v>2</v>
      </c>
      <c r="F440" s="15"/>
      <c r="G440" s="15"/>
    </row>
    <row r="441" spans="1:7" x14ac:dyDescent="0.2">
      <c r="A441" s="15" t="s">
        <v>131</v>
      </c>
      <c r="B441" s="15" t="s">
        <v>133</v>
      </c>
      <c r="C441" s="15" t="s">
        <v>406</v>
      </c>
      <c r="D441" s="15" t="s">
        <v>407</v>
      </c>
      <c r="E441" s="15">
        <v>2</v>
      </c>
      <c r="F441" s="15"/>
      <c r="G441" s="15"/>
    </row>
    <row r="442" spans="1:7" x14ac:dyDescent="0.2">
      <c r="A442" s="15" t="s">
        <v>131</v>
      </c>
      <c r="B442" s="15" t="s">
        <v>133</v>
      </c>
      <c r="C442" s="15" t="s">
        <v>390</v>
      </c>
      <c r="D442" s="15" t="s">
        <v>391</v>
      </c>
      <c r="E442" s="15" t="s">
        <v>412</v>
      </c>
      <c r="F442" s="15"/>
      <c r="G442" s="15"/>
    </row>
    <row r="443" spans="1:7" x14ac:dyDescent="0.2">
      <c r="A443" s="15" t="s">
        <v>131</v>
      </c>
      <c r="B443" s="15" t="s">
        <v>133</v>
      </c>
      <c r="C443" s="15" t="s">
        <v>413</v>
      </c>
      <c r="D443" s="15" t="s">
        <v>414</v>
      </c>
      <c r="E443" s="15" t="s">
        <v>412</v>
      </c>
      <c r="F443" s="15"/>
      <c r="G443" s="15"/>
    </row>
    <row r="444" spans="1:7" x14ac:dyDescent="0.2">
      <c r="A444" s="15" t="s">
        <v>131</v>
      </c>
      <c r="B444" s="15" t="s">
        <v>133</v>
      </c>
      <c r="C444" s="15" t="s">
        <v>404</v>
      </c>
      <c r="D444" s="15" t="s">
        <v>405</v>
      </c>
      <c r="E444" s="15">
        <v>1</v>
      </c>
      <c r="F444" s="15"/>
      <c r="G444" s="15"/>
    </row>
    <row r="445" spans="1:7" x14ac:dyDescent="0.2">
      <c r="A445" s="15" t="s">
        <v>131</v>
      </c>
      <c r="B445" s="15" t="s">
        <v>133</v>
      </c>
      <c r="C445" s="15" t="s">
        <v>444</v>
      </c>
      <c r="D445" s="15" t="s">
        <v>445</v>
      </c>
      <c r="E445" s="15">
        <v>2</v>
      </c>
      <c r="F445" s="15"/>
      <c r="G445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17E3-CEED-CA45-BEFE-74F85E0B4457}">
  <dimension ref="A1:O129"/>
  <sheetViews>
    <sheetView workbookViewId="0">
      <selection sqref="A1:O129"/>
    </sheetView>
  </sheetViews>
  <sheetFormatPr baseColWidth="10" defaultRowHeight="16" x14ac:dyDescent="0.2"/>
  <sheetData>
    <row r="1" spans="1:15" x14ac:dyDescent="0.2">
      <c r="A1" s="15" t="s">
        <v>0</v>
      </c>
      <c r="B1" s="15" t="s">
        <v>620</v>
      </c>
      <c r="C1" s="15" t="s">
        <v>621</v>
      </c>
      <c r="D1" s="15" t="s">
        <v>622</v>
      </c>
      <c r="E1" s="15" t="s">
        <v>285</v>
      </c>
      <c r="F1" s="15" t="s">
        <v>286</v>
      </c>
      <c r="G1" s="15" t="s">
        <v>287</v>
      </c>
      <c r="H1" s="15" t="s">
        <v>288</v>
      </c>
      <c r="I1" s="15"/>
      <c r="J1" s="15"/>
      <c r="K1" s="15"/>
      <c r="L1" s="15"/>
      <c r="M1" s="72"/>
      <c r="N1" s="72"/>
      <c r="O1" s="72"/>
    </row>
    <row r="2" spans="1:15" x14ac:dyDescent="0.2">
      <c r="A2" s="15" t="s">
        <v>72</v>
      </c>
      <c r="B2" s="15" t="s">
        <v>623</v>
      </c>
      <c r="C2" s="15" t="s">
        <v>406</v>
      </c>
      <c r="D2" s="15" t="s">
        <v>624</v>
      </c>
      <c r="E2" s="15">
        <v>5</v>
      </c>
      <c r="F2" s="15">
        <v>2</v>
      </c>
      <c r="G2" s="15">
        <v>2</v>
      </c>
      <c r="H2" s="15">
        <v>9</v>
      </c>
      <c r="I2" s="15"/>
      <c r="J2" s="15"/>
      <c r="K2" s="15"/>
      <c r="L2" s="15"/>
      <c r="M2" s="72"/>
      <c r="N2" s="72"/>
      <c r="O2" s="72"/>
    </row>
    <row r="3" spans="1:15" x14ac:dyDescent="0.2">
      <c r="A3" s="15" t="s">
        <v>72</v>
      </c>
      <c r="B3" s="15" t="s">
        <v>402</v>
      </c>
      <c r="C3" s="15" t="s">
        <v>386</v>
      </c>
      <c r="D3" s="15" t="s">
        <v>508</v>
      </c>
      <c r="E3" s="15">
        <v>5</v>
      </c>
      <c r="F3" s="15">
        <v>2</v>
      </c>
      <c r="G3" s="15">
        <v>2</v>
      </c>
      <c r="H3" s="15">
        <v>9</v>
      </c>
      <c r="I3" s="15"/>
      <c r="J3" s="15"/>
      <c r="K3" s="15"/>
      <c r="L3" s="15"/>
      <c r="M3" s="72"/>
      <c r="N3" s="72"/>
      <c r="O3" s="72"/>
    </row>
    <row r="4" spans="1:15" x14ac:dyDescent="0.2">
      <c r="A4" s="15" t="s">
        <v>72</v>
      </c>
      <c r="B4" s="15" t="s">
        <v>624</v>
      </c>
      <c r="C4" s="15"/>
      <c r="D4" s="15"/>
      <c r="E4" s="15">
        <v>5</v>
      </c>
      <c r="F4" s="15">
        <v>2</v>
      </c>
      <c r="G4" s="15">
        <v>2</v>
      </c>
      <c r="H4" s="15">
        <v>9</v>
      </c>
      <c r="I4" s="15"/>
      <c r="J4" s="15"/>
      <c r="K4" s="15"/>
      <c r="L4" s="15"/>
      <c r="M4" s="72"/>
      <c r="N4" s="72"/>
      <c r="O4" s="72"/>
    </row>
    <row r="5" spans="1:15" x14ac:dyDescent="0.2">
      <c r="A5" s="15" t="s">
        <v>72</v>
      </c>
      <c r="B5" s="15" t="s">
        <v>625</v>
      </c>
      <c r="C5" s="15"/>
      <c r="D5" s="15"/>
      <c r="E5" s="15">
        <v>5</v>
      </c>
      <c r="F5" s="15">
        <v>2</v>
      </c>
      <c r="G5" s="15">
        <v>2</v>
      </c>
      <c r="H5" s="15">
        <v>9</v>
      </c>
      <c r="I5" s="15"/>
      <c r="J5" s="15"/>
      <c r="K5" s="15"/>
      <c r="L5" s="15"/>
      <c r="M5" s="72"/>
      <c r="N5" s="72"/>
      <c r="O5" s="72"/>
    </row>
    <row r="6" spans="1:15" x14ac:dyDescent="0.2">
      <c r="A6" s="15" t="s">
        <v>72</v>
      </c>
      <c r="B6" s="15" t="s">
        <v>392</v>
      </c>
      <c r="C6" s="15"/>
      <c r="D6" s="15"/>
      <c r="E6" s="15">
        <v>5</v>
      </c>
      <c r="F6" s="15">
        <v>2</v>
      </c>
      <c r="G6" s="15">
        <v>2</v>
      </c>
      <c r="H6" s="15">
        <v>9</v>
      </c>
      <c r="I6" s="15"/>
      <c r="J6" s="15"/>
      <c r="K6" s="15"/>
      <c r="L6" s="15"/>
      <c r="M6" s="72"/>
      <c r="N6" s="72"/>
      <c r="O6" s="72"/>
    </row>
    <row r="7" spans="1:15" x14ac:dyDescent="0.2">
      <c r="A7" s="15" t="s">
        <v>78</v>
      </c>
      <c r="B7" s="15" t="s">
        <v>480</v>
      </c>
      <c r="C7" s="15" t="s">
        <v>406</v>
      </c>
      <c r="D7" s="15" t="s">
        <v>626</v>
      </c>
      <c r="E7" s="15">
        <v>9</v>
      </c>
      <c r="F7" s="15">
        <v>2</v>
      </c>
      <c r="G7" s="15">
        <v>4</v>
      </c>
      <c r="H7" s="15">
        <v>15</v>
      </c>
      <c r="I7" s="15"/>
      <c r="J7" s="15"/>
      <c r="K7" s="15"/>
      <c r="L7" s="15"/>
      <c r="M7" s="72"/>
      <c r="N7" s="72"/>
      <c r="O7" s="72"/>
    </row>
    <row r="8" spans="1:15" x14ac:dyDescent="0.2">
      <c r="A8" s="15" t="s">
        <v>78</v>
      </c>
      <c r="B8" s="15" t="s">
        <v>625</v>
      </c>
      <c r="C8" s="15" t="s">
        <v>415</v>
      </c>
      <c r="D8" s="15" t="s">
        <v>508</v>
      </c>
      <c r="E8" s="15">
        <v>9</v>
      </c>
      <c r="F8" s="15">
        <v>2</v>
      </c>
      <c r="G8" s="15">
        <v>4</v>
      </c>
      <c r="H8" s="15">
        <v>15</v>
      </c>
      <c r="I8" s="15"/>
      <c r="J8" s="15"/>
      <c r="K8" s="15"/>
      <c r="L8" s="15"/>
      <c r="M8" s="72"/>
      <c r="N8" s="72"/>
      <c r="O8" s="72"/>
    </row>
    <row r="9" spans="1:15" x14ac:dyDescent="0.2">
      <c r="A9" s="15" t="s">
        <v>78</v>
      </c>
      <c r="B9" s="15" t="s">
        <v>627</v>
      </c>
      <c r="C9" s="15"/>
      <c r="D9" s="15" t="s">
        <v>627</v>
      </c>
      <c r="E9" s="15">
        <v>9</v>
      </c>
      <c r="F9" s="15">
        <v>2</v>
      </c>
      <c r="G9" s="15">
        <v>4</v>
      </c>
      <c r="H9" s="15">
        <v>15</v>
      </c>
      <c r="I9" s="15"/>
      <c r="J9" s="15"/>
      <c r="K9" s="15"/>
      <c r="L9" s="15"/>
      <c r="M9" s="72"/>
      <c r="N9" s="72"/>
      <c r="O9" s="72"/>
    </row>
    <row r="10" spans="1:15" x14ac:dyDescent="0.2">
      <c r="A10" s="15" t="s">
        <v>78</v>
      </c>
      <c r="B10" s="15" t="s">
        <v>628</v>
      </c>
      <c r="C10" s="15"/>
      <c r="D10" s="15" t="s">
        <v>629</v>
      </c>
      <c r="E10" s="15">
        <v>9</v>
      </c>
      <c r="F10" s="15">
        <v>2</v>
      </c>
      <c r="G10" s="15">
        <v>4</v>
      </c>
      <c r="H10" s="15">
        <v>15</v>
      </c>
      <c r="I10" s="15"/>
      <c r="J10" s="15"/>
      <c r="K10" s="15"/>
      <c r="L10" s="15"/>
      <c r="M10" s="72"/>
      <c r="N10" s="72"/>
      <c r="O10" s="72"/>
    </row>
    <row r="11" spans="1:15" x14ac:dyDescent="0.2">
      <c r="A11" s="15" t="s">
        <v>78</v>
      </c>
      <c r="B11" s="15" t="s">
        <v>630</v>
      </c>
      <c r="C11" s="15"/>
      <c r="D11" s="15"/>
      <c r="E11" s="15">
        <v>9</v>
      </c>
      <c r="F11" s="15">
        <v>2</v>
      </c>
      <c r="G11" s="15">
        <v>4</v>
      </c>
      <c r="H11" s="15">
        <v>15</v>
      </c>
      <c r="I11" s="15"/>
      <c r="J11" s="15"/>
      <c r="K11" s="15"/>
      <c r="L11" s="15"/>
      <c r="M11" s="72"/>
      <c r="N11" s="72"/>
      <c r="O11" s="72"/>
    </row>
    <row r="12" spans="1:15" x14ac:dyDescent="0.2">
      <c r="A12" s="15" t="s">
        <v>78</v>
      </c>
      <c r="B12" s="15" t="s">
        <v>629</v>
      </c>
      <c r="C12" s="15"/>
      <c r="D12" s="15"/>
      <c r="E12" s="15">
        <v>9</v>
      </c>
      <c r="F12" s="15">
        <v>2</v>
      </c>
      <c r="G12" s="15">
        <v>4</v>
      </c>
      <c r="H12" s="15">
        <v>15</v>
      </c>
      <c r="I12" s="15"/>
      <c r="J12" s="15"/>
      <c r="K12" s="15"/>
      <c r="L12" s="15"/>
      <c r="M12" s="72"/>
      <c r="N12" s="72"/>
      <c r="O12" s="72"/>
    </row>
    <row r="13" spans="1:15" x14ac:dyDescent="0.2">
      <c r="A13" s="15" t="s">
        <v>78</v>
      </c>
      <c r="B13" s="15" t="s">
        <v>631</v>
      </c>
      <c r="C13" s="15"/>
      <c r="D13" s="15"/>
      <c r="E13" s="15">
        <v>9</v>
      </c>
      <c r="F13" s="15">
        <v>2</v>
      </c>
      <c r="G13" s="15">
        <v>4</v>
      </c>
      <c r="H13" s="15">
        <v>15</v>
      </c>
      <c r="I13" s="15"/>
      <c r="J13" s="15"/>
      <c r="K13" s="15"/>
      <c r="L13" s="15"/>
      <c r="M13" s="72"/>
      <c r="N13" s="72"/>
      <c r="O13" s="72"/>
    </row>
    <row r="14" spans="1:15" x14ac:dyDescent="0.2">
      <c r="A14" s="15" t="s">
        <v>78</v>
      </c>
      <c r="B14" s="15" t="s">
        <v>632</v>
      </c>
      <c r="C14" s="15"/>
      <c r="D14" s="15"/>
      <c r="E14" s="15">
        <v>9</v>
      </c>
      <c r="F14" s="15">
        <v>2</v>
      </c>
      <c r="G14" s="15">
        <v>4</v>
      </c>
      <c r="H14" s="15">
        <v>15</v>
      </c>
      <c r="I14" s="15"/>
      <c r="J14" s="15"/>
      <c r="K14" s="15"/>
      <c r="L14" s="15"/>
      <c r="M14" s="72"/>
      <c r="N14" s="72"/>
      <c r="O14" s="72"/>
    </row>
    <row r="15" spans="1:15" x14ac:dyDescent="0.2">
      <c r="A15" s="15" t="s">
        <v>78</v>
      </c>
      <c r="B15" s="15" t="s">
        <v>508</v>
      </c>
      <c r="C15" s="15"/>
      <c r="D15" s="15"/>
      <c r="E15" s="15">
        <v>9</v>
      </c>
      <c r="F15" s="15">
        <v>2</v>
      </c>
      <c r="G15" s="15">
        <v>4</v>
      </c>
      <c r="H15" s="15">
        <v>15</v>
      </c>
      <c r="I15" s="15"/>
      <c r="J15" s="15"/>
      <c r="K15" s="15"/>
      <c r="L15" s="15"/>
      <c r="M15" s="72"/>
      <c r="N15" s="72"/>
      <c r="O15" s="72"/>
    </row>
    <row r="16" spans="1:15" x14ac:dyDescent="0.2">
      <c r="A16" s="15" t="s">
        <v>78</v>
      </c>
      <c r="B16" s="15" t="s">
        <v>627</v>
      </c>
      <c r="C16" s="15"/>
      <c r="D16" s="15"/>
      <c r="E16" s="15">
        <v>9</v>
      </c>
      <c r="F16" s="15">
        <v>2</v>
      </c>
      <c r="G16" s="15">
        <v>4</v>
      </c>
      <c r="H16" s="15">
        <v>15</v>
      </c>
      <c r="I16" s="15"/>
      <c r="J16" s="15"/>
      <c r="K16" s="15"/>
      <c r="L16" s="15"/>
      <c r="M16" s="72"/>
      <c r="N16" s="72"/>
      <c r="O16" s="72"/>
    </row>
    <row r="17" spans="1:15" x14ac:dyDescent="0.2">
      <c r="A17" s="15" t="s">
        <v>82</v>
      </c>
      <c r="B17" s="15" t="s">
        <v>431</v>
      </c>
      <c r="C17" s="15" t="s">
        <v>386</v>
      </c>
      <c r="D17" s="15" t="s">
        <v>508</v>
      </c>
      <c r="E17" s="15">
        <v>4</v>
      </c>
      <c r="F17" s="15">
        <v>1</v>
      </c>
      <c r="G17" s="15">
        <v>2</v>
      </c>
      <c r="H17" s="15">
        <v>7</v>
      </c>
      <c r="I17" s="15"/>
      <c r="J17" s="15"/>
      <c r="K17" s="15"/>
      <c r="L17" s="15"/>
      <c r="M17" s="72"/>
      <c r="N17" s="72"/>
      <c r="O17" s="72"/>
    </row>
    <row r="18" spans="1:15" x14ac:dyDescent="0.2">
      <c r="A18" s="15" t="s">
        <v>82</v>
      </c>
      <c r="B18" s="15" t="s">
        <v>402</v>
      </c>
      <c r="C18" s="15"/>
      <c r="D18" s="15" t="s">
        <v>624</v>
      </c>
      <c r="E18" s="15">
        <v>4</v>
      </c>
      <c r="F18" s="15">
        <v>1</v>
      </c>
      <c r="G18" s="15">
        <v>2</v>
      </c>
      <c r="H18" s="15">
        <v>7</v>
      </c>
      <c r="I18" s="15"/>
      <c r="J18" s="15"/>
      <c r="K18" s="15"/>
      <c r="L18" s="15"/>
      <c r="M18" s="72"/>
      <c r="N18" s="72"/>
      <c r="O18" s="72"/>
    </row>
    <row r="19" spans="1:15" x14ac:dyDescent="0.2">
      <c r="A19" s="15" t="s">
        <v>82</v>
      </c>
      <c r="B19" s="15" t="s">
        <v>630</v>
      </c>
      <c r="C19" s="15"/>
      <c r="D19" s="15"/>
      <c r="E19" s="15">
        <v>4</v>
      </c>
      <c r="F19" s="15">
        <v>1</v>
      </c>
      <c r="G19" s="15">
        <v>2</v>
      </c>
      <c r="H19" s="15">
        <v>7</v>
      </c>
      <c r="I19" s="15"/>
      <c r="J19" s="15"/>
      <c r="K19" s="15"/>
      <c r="L19" s="15"/>
      <c r="M19" s="72"/>
      <c r="N19" s="72"/>
      <c r="O19" s="72"/>
    </row>
    <row r="20" spans="1:15" x14ac:dyDescent="0.2">
      <c r="A20" s="15" t="s">
        <v>82</v>
      </c>
      <c r="B20" s="15" t="s">
        <v>631</v>
      </c>
      <c r="C20" s="15"/>
      <c r="D20" s="15"/>
      <c r="E20" s="15">
        <v>4</v>
      </c>
      <c r="F20" s="15">
        <v>1</v>
      </c>
      <c r="G20" s="15">
        <v>2</v>
      </c>
      <c r="H20" s="15">
        <v>7</v>
      </c>
      <c r="I20" s="15"/>
      <c r="J20" s="15"/>
      <c r="K20" s="15"/>
      <c r="L20" s="15"/>
      <c r="M20" s="72"/>
      <c r="N20" s="72"/>
      <c r="O20" s="72"/>
    </row>
    <row r="21" spans="1:15" x14ac:dyDescent="0.2">
      <c r="A21" s="15" t="s">
        <v>87</v>
      </c>
      <c r="B21" s="15" t="s">
        <v>402</v>
      </c>
      <c r="C21" s="15" t="s">
        <v>415</v>
      </c>
      <c r="D21" s="15"/>
      <c r="E21" s="15">
        <v>5</v>
      </c>
      <c r="F21" s="15">
        <v>2</v>
      </c>
      <c r="G21" s="15">
        <v>0</v>
      </c>
      <c r="H21" s="15">
        <v>7</v>
      </c>
      <c r="I21" s="15"/>
      <c r="J21" s="15"/>
      <c r="K21" s="15"/>
      <c r="L21" s="15"/>
      <c r="M21" s="72"/>
      <c r="N21" s="72"/>
      <c r="O21" s="72"/>
    </row>
    <row r="22" spans="1:15" x14ac:dyDescent="0.2">
      <c r="A22" s="15" t="s">
        <v>87</v>
      </c>
      <c r="B22" s="15" t="s">
        <v>631</v>
      </c>
      <c r="C22" s="15" t="s">
        <v>386</v>
      </c>
      <c r="D22" s="15"/>
      <c r="E22" s="15">
        <v>5</v>
      </c>
      <c r="F22" s="15">
        <v>2</v>
      </c>
      <c r="G22" s="15">
        <v>0</v>
      </c>
      <c r="H22" s="15">
        <v>7</v>
      </c>
      <c r="I22" s="15"/>
      <c r="J22" s="15"/>
      <c r="K22" s="15"/>
      <c r="L22" s="15"/>
      <c r="M22" s="72"/>
      <c r="N22" s="72"/>
      <c r="O22" s="72"/>
    </row>
    <row r="23" spans="1:15" x14ac:dyDescent="0.2">
      <c r="A23" s="15" t="s">
        <v>87</v>
      </c>
      <c r="B23" s="15" t="s">
        <v>625</v>
      </c>
      <c r="C23" s="15"/>
      <c r="D23" s="15"/>
      <c r="E23" s="15">
        <v>5</v>
      </c>
      <c r="F23" s="15">
        <v>2</v>
      </c>
      <c r="G23" s="15">
        <v>0</v>
      </c>
      <c r="H23" s="15">
        <v>7</v>
      </c>
      <c r="I23" s="15"/>
      <c r="J23" s="15"/>
      <c r="K23" s="15"/>
      <c r="L23" s="15"/>
      <c r="M23" s="72"/>
      <c r="N23" s="72"/>
      <c r="O23" s="72"/>
    </row>
    <row r="24" spans="1:15" x14ac:dyDescent="0.2">
      <c r="A24" s="15" t="s">
        <v>87</v>
      </c>
      <c r="B24" s="15" t="s">
        <v>508</v>
      </c>
      <c r="C24" s="15"/>
      <c r="D24" s="15"/>
      <c r="E24" s="15">
        <v>5</v>
      </c>
      <c r="F24" s="15">
        <v>2</v>
      </c>
      <c r="G24" s="15">
        <v>0</v>
      </c>
      <c r="H24" s="15">
        <v>7</v>
      </c>
      <c r="I24" s="15"/>
      <c r="J24" s="15"/>
      <c r="K24" s="15"/>
      <c r="L24" s="15"/>
      <c r="M24" s="72"/>
      <c r="N24" s="72"/>
      <c r="O24" s="72"/>
    </row>
    <row r="25" spans="1:15" x14ac:dyDescent="0.2">
      <c r="A25" s="15" t="s">
        <v>87</v>
      </c>
      <c r="B25" s="15" t="s">
        <v>392</v>
      </c>
      <c r="C25" s="15"/>
      <c r="D25" s="15"/>
      <c r="E25" s="15">
        <v>5</v>
      </c>
      <c r="F25" s="15">
        <v>2</v>
      </c>
      <c r="G25" s="15">
        <v>0</v>
      </c>
      <c r="H25" s="15">
        <v>7</v>
      </c>
      <c r="I25" s="15"/>
      <c r="J25" s="15"/>
      <c r="K25" s="15"/>
      <c r="L25" s="15"/>
      <c r="M25" s="72"/>
      <c r="N25" s="72"/>
      <c r="O25" s="72"/>
    </row>
    <row r="26" spans="1:15" x14ac:dyDescent="0.2">
      <c r="A26" s="15" t="s">
        <v>90</v>
      </c>
      <c r="B26" s="15" t="s">
        <v>402</v>
      </c>
      <c r="C26" s="15" t="s">
        <v>633</v>
      </c>
      <c r="D26" s="15"/>
      <c r="E26" s="15">
        <v>3</v>
      </c>
      <c r="F26" s="15">
        <v>3</v>
      </c>
      <c r="G26" s="15">
        <v>0</v>
      </c>
      <c r="H26" s="15">
        <v>6</v>
      </c>
      <c r="I26" s="15"/>
      <c r="J26" s="15"/>
      <c r="K26" s="15"/>
      <c r="L26" s="15"/>
      <c r="M26" s="72"/>
      <c r="N26" s="72"/>
      <c r="O26" s="72"/>
    </row>
    <row r="27" spans="1:15" x14ac:dyDescent="0.2">
      <c r="A27" s="15" t="s">
        <v>90</v>
      </c>
      <c r="B27" s="15" t="s">
        <v>623</v>
      </c>
      <c r="C27" s="15" t="s">
        <v>415</v>
      </c>
      <c r="D27" s="15"/>
      <c r="E27" s="15">
        <v>3</v>
      </c>
      <c r="F27" s="15">
        <v>3</v>
      </c>
      <c r="G27" s="15">
        <v>0</v>
      </c>
      <c r="H27" s="15">
        <v>6</v>
      </c>
      <c r="I27" s="15"/>
      <c r="J27" s="15"/>
      <c r="K27" s="15"/>
      <c r="L27" s="15"/>
      <c r="M27" s="72"/>
      <c r="N27" s="72"/>
      <c r="O27" s="72"/>
    </row>
    <row r="28" spans="1:15" x14ac:dyDescent="0.2">
      <c r="A28" s="15" t="s">
        <v>90</v>
      </c>
      <c r="B28" s="15" t="s">
        <v>508</v>
      </c>
      <c r="C28" s="15" t="s">
        <v>406</v>
      </c>
      <c r="D28" s="15"/>
      <c r="E28" s="15">
        <v>3</v>
      </c>
      <c r="F28" s="15">
        <v>3</v>
      </c>
      <c r="G28" s="15">
        <v>0</v>
      </c>
      <c r="H28" s="15">
        <v>6</v>
      </c>
      <c r="I28" s="15"/>
      <c r="J28" s="15"/>
      <c r="K28" s="15"/>
      <c r="L28" s="15"/>
      <c r="M28" s="72"/>
      <c r="N28" s="72"/>
      <c r="O28" s="72"/>
    </row>
    <row r="29" spans="1:15" x14ac:dyDescent="0.2">
      <c r="A29" s="15" t="s">
        <v>93</v>
      </c>
      <c r="B29" s="15" t="s">
        <v>627</v>
      </c>
      <c r="C29" s="15" t="s">
        <v>386</v>
      </c>
      <c r="D29" s="15" t="s">
        <v>627</v>
      </c>
      <c r="E29" s="15">
        <v>5</v>
      </c>
      <c r="F29" s="15">
        <v>2</v>
      </c>
      <c r="G29" s="15">
        <v>2</v>
      </c>
      <c r="H29" s="15">
        <v>9</v>
      </c>
      <c r="I29" s="15"/>
      <c r="J29" s="15"/>
      <c r="K29" s="15"/>
      <c r="L29" s="15"/>
      <c r="M29" s="72"/>
      <c r="N29" s="72"/>
      <c r="O29" s="72"/>
    </row>
    <row r="30" spans="1:15" x14ac:dyDescent="0.2">
      <c r="A30" s="15" t="s">
        <v>93</v>
      </c>
      <c r="B30" s="15" t="s">
        <v>446</v>
      </c>
      <c r="C30" s="15" t="s">
        <v>406</v>
      </c>
      <c r="D30" s="15" t="s">
        <v>508</v>
      </c>
      <c r="E30" s="15">
        <v>5</v>
      </c>
      <c r="F30" s="15">
        <v>2</v>
      </c>
      <c r="G30" s="15">
        <v>2</v>
      </c>
      <c r="H30" s="15">
        <v>9</v>
      </c>
      <c r="I30" s="15"/>
      <c r="J30" s="15"/>
      <c r="K30" s="15"/>
      <c r="L30" s="15"/>
      <c r="M30" s="72"/>
      <c r="N30" s="72"/>
      <c r="O30" s="72"/>
    </row>
    <row r="31" spans="1:15" x14ac:dyDescent="0.2">
      <c r="A31" s="15" t="s">
        <v>93</v>
      </c>
      <c r="B31" s="15" t="s">
        <v>634</v>
      </c>
      <c r="C31" s="15"/>
      <c r="D31" s="15"/>
      <c r="E31" s="15">
        <v>5</v>
      </c>
      <c r="F31" s="15">
        <v>2</v>
      </c>
      <c r="G31" s="15">
        <v>2</v>
      </c>
      <c r="H31" s="15">
        <v>9</v>
      </c>
      <c r="I31" s="15"/>
      <c r="J31" s="15"/>
      <c r="K31" s="15"/>
      <c r="L31" s="15"/>
      <c r="M31" s="72"/>
      <c r="N31" s="72"/>
      <c r="O31" s="72"/>
    </row>
    <row r="32" spans="1:15" x14ac:dyDescent="0.2">
      <c r="A32" s="15" t="s">
        <v>93</v>
      </c>
      <c r="B32" s="15" t="s">
        <v>402</v>
      </c>
      <c r="C32" s="15"/>
      <c r="D32" s="15"/>
      <c r="E32" s="15">
        <v>5</v>
      </c>
      <c r="F32" s="15">
        <v>2</v>
      </c>
      <c r="G32" s="15">
        <v>2</v>
      </c>
      <c r="H32" s="15">
        <v>9</v>
      </c>
      <c r="I32" s="15"/>
      <c r="J32" s="15"/>
      <c r="K32" s="15"/>
      <c r="L32" s="15"/>
      <c r="M32" s="15"/>
      <c r="N32" s="15"/>
      <c r="O32" s="15"/>
    </row>
    <row r="33" spans="1:15" x14ac:dyDescent="0.2">
      <c r="A33" s="15" t="s">
        <v>93</v>
      </c>
      <c r="B33" s="15" t="s">
        <v>632</v>
      </c>
      <c r="C33" s="15"/>
      <c r="D33" s="15"/>
      <c r="E33" s="15">
        <v>5</v>
      </c>
      <c r="F33" s="15">
        <v>2</v>
      </c>
      <c r="G33" s="15">
        <v>2</v>
      </c>
      <c r="H33" s="15">
        <v>9</v>
      </c>
      <c r="I33" s="15"/>
      <c r="J33" s="15"/>
      <c r="K33" s="15"/>
      <c r="L33" s="15"/>
      <c r="M33" s="15"/>
      <c r="N33" s="15"/>
      <c r="O33" s="15"/>
    </row>
    <row r="34" spans="1:15" x14ac:dyDescent="0.2">
      <c r="A34" s="15" t="s">
        <v>95</v>
      </c>
      <c r="B34" s="15" t="s">
        <v>446</v>
      </c>
      <c r="C34" s="15"/>
      <c r="D34" s="15"/>
      <c r="E34" s="15">
        <v>7</v>
      </c>
      <c r="F34" s="15">
        <v>1</v>
      </c>
      <c r="G34" s="15">
        <v>0</v>
      </c>
      <c r="H34" s="15">
        <v>8</v>
      </c>
      <c r="I34" s="15"/>
      <c r="J34" s="15"/>
      <c r="K34" s="15"/>
      <c r="L34" s="15"/>
      <c r="M34" s="15"/>
      <c r="N34" s="15"/>
      <c r="O34" s="15"/>
    </row>
    <row r="35" spans="1:15" x14ac:dyDescent="0.2">
      <c r="A35" s="15" t="s">
        <v>95</v>
      </c>
      <c r="B35" s="15" t="s">
        <v>627</v>
      </c>
      <c r="C35" s="15"/>
      <c r="D35" s="15"/>
      <c r="E35" s="15">
        <v>7</v>
      </c>
      <c r="F35" s="15">
        <v>1</v>
      </c>
      <c r="G35" s="15">
        <v>0</v>
      </c>
      <c r="H35" s="15">
        <v>8</v>
      </c>
      <c r="I35" s="15"/>
      <c r="J35" s="15"/>
      <c r="K35" s="15"/>
      <c r="L35" s="15"/>
      <c r="M35" s="15"/>
      <c r="N35" s="15"/>
      <c r="O35" s="15"/>
    </row>
    <row r="36" spans="1:15" x14ac:dyDescent="0.2">
      <c r="A36" s="15" t="s">
        <v>95</v>
      </c>
      <c r="B36" s="15" t="s">
        <v>625</v>
      </c>
      <c r="C36" s="15"/>
      <c r="D36" s="15"/>
      <c r="E36" s="15">
        <v>7</v>
      </c>
      <c r="F36" s="15">
        <v>1</v>
      </c>
      <c r="G36" s="15">
        <v>0</v>
      </c>
      <c r="H36" s="15">
        <v>8</v>
      </c>
      <c r="I36" s="15"/>
      <c r="J36" s="15"/>
      <c r="K36" s="15"/>
      <c r="L36" s="15"/>
      <c r="M36" s="15"/>
      <c r="N36" s="15"/>
      <c r="O36" s="15"/>
    </row>
    <row r="37" spans="1:15" x14ac:dyDescent="0.2">
      <c r="A37" s="15" t="s">
        <v>95</v>
      </c>
      <c r="B37" s="15" t="s">
        <v>402</v>
      </c>
      <c r="C37" s="15"/>
      <c r="D37" s="15"/>
      <c r="E37" s="15">
        <v>7</v>
      </c>
      <c r="F37" s="15">
        <v>1</v>
      </c>
      <c r="G37" s="15">
        <v>0</v>
      </c>
      <c r="H37" s="15">
        <v>8</v>
      </c>
      <c r="I37" s="15"/>
      <c r="J37" s="15"/>
      <c r="K37" s="15"/>
      <c r="L37" s="15"/>
      <c r="M37" s="15"/>
      <c r="N37" s="15"/>
      <c r="O37" s="15"/>
    </row>
    <row r="38" spans="1:15" x14ac:dyDescent="0.2">
      <c r="A38" s="15" t="s">
        <v>95</v>
      </c>
      <c r="B38" s="15" t="s">
        <v>631</v>
      </c>
      <c r="C38" s="15"/>
      <c r="D38" s="15"/>
      <c r="E38" s="15">
        <v>7</v>
      </c>
      <c r="F38" s="15">
        <v>1</v>
      </c>
      <c r="G38" s="15">
        <v>0</v>
      </c>
      <c r="H38" s="15">
        <v>8</v>
      </c>
      <c r="I38" s="15"/>
      <c r="J38" s="15"/>
      <c r="K38" s="15"/>
      <c r="L38" s="15"/>
      <c r="M38" s="15"/>
      <c r="N38" s="15"/>
      <c r="O38" s="15"/>
    </row>
    <row r="39" spans="1:15" x14ac:dyDescent="0.2">
      <c r="A39" s="15" t="s">
        <v>95</v>
      </c>
      <c r="B39" s="15" t="s">
        <v>635</v>
      </c>
      <c r="C39" s="15"/>
      <c r="D39" s="15"/>
      <c r="E39" s="15">
        <v>7</v>
      </c>
      <c r="F39" s="15">
        <v>1</v>
      </c>
      <c r="G39" s="15">
        <v>0</v>
      </c>
      <c r="H39" s="15">
        <v>8</v>
      </c>
      <c r="I39" s="15"/>
      <c r="J39" s="15"/>
      <c r="K39" s="15"/>
      <c r="L39" s="15"/>
      <c r="M39" s="15"/>
      <c r="N39" s="15"/>
      <c r="O39" s="15"/>
    </row>
    <row r="40" spans="1:15" x14ac:dyDescent="0.2">
      <c r="A40" s="15" t="s">
        <v>95</v>
      </c>
      <c r="B40" s="15" t="s">
        <v>392</v>
      </c>
      <c r="C40" s="15"/>
      <c r="D40" s="15"/>
      <c r="E40" s="15">
        <v>7</v>
      </c>
      <c r="F40" s="15">
        <v>1</v>
      </c>
      <c r="G40" s="15">
        <v>0</v>
      </c>
      <c r="H40" s="15">
        <v>8</v>
      </c>
      <c r="I40" s="15"/>
      <c r="J40" s="15"/>
      <c r="K40" s="15"/>
      <c r="L40" s="15"/>
      <c r="M40" s="15"/>
      <c r="N40" s="15"/>
      <c r="O40" s="15"/>
    </row>
    <row r="41" spans="1:15" x14ac:dyDescent="0.2">
      <c r="A41" s="15" t="s">
        <v>98</v>
      </c>
      <c r="B41" s="15" t="s">
        <v>625</v>
      </c>
      <c r="C41" s="15" t="s">
        <v>406</v>
      </c>
      <c r="D41" s="15" t="s">
        <v>629</v>
      </c>
      <c r="E41" s="15">
        <v>2</v>
      </c>
      <c r="F41" s="15">
        <v>1</v>
      </c>
      <c r="G41" s="15">
        <v>2</v>
      </c>
      <c r="H41" s="15">
        <v>5</v>
      </c>
      <c r="I41" s="15"/>
      <c r="J41" s="15"/>
      <c r="K41" s="15"/>
      <c r="L41" s="15"/>
      <c r="M41" s="15"/>
      <c r="N41" s="15"/>
      <c r="O41" s="15"/>
    </row>
    <row r="42" spans="1:15" x14ac:dyDescent="0.2">
      <c r="A42" s="15" t="s">
        <v>98</v>
      </c>
      <c r="B42" s="15" t="s">
        <v>446</v>
      </c>
      <c r="C42" s="15"/>
      <c r="D42" s="15" t="s">
        <v>625</v>
      </c>
      <c r="E42" s="15">
        <v>2</v>
      </c>
      <c r="F42" s="15">
        <v>1</v>
      </c>
      <c r="G42" s="15">
        <v>2</v>
      </c>
      <c r="H42" s="15">
        <v>5</v>
      </c>
      <c r="I42" s="15"/>
      <c r="J42" s="15"/>
      <c r="K42" s="15"/>
      <c r="L42" s="15"/>
      <c r="M42" s="15"/>
      <c r="N42" s="15"/>
      <c r="O42" s="15"/>
    </row>
    <row r="43" spans="1:15" x14ac:dyDescent="0.2">
      <c r="A43" s="15" t="s">
        <v>100</v>
      </c>
      <c r="B43" s="15" t="s">
        <v>402</v>
      </c>
      <c r="C43" s="15" t="s">
        <v>386</v>
      </c>
      <c r="D43" s="15" t="s">
        <v>629</v>
      </c>
      <c r="E43" s="15">
        <v>4</v>
      </c>
      <c r="F43" s="15">
        <v>2</v>
      </c>
      <c r="G43" s="15">
        <v>1</v>
      </c>
      <c r="H43" s="15">
        <v>7</v>
      </c>
      <c r="I43" s="15"/>
      <c r="J43" s="15"/>
      <c r="K43" s="15"/>
      <c r="L43" s="15"/>
      <c r="M43" s="15"/>
      <c r="N43" s="15"/>
      <c r="O43" s="15"/>
    </row>
    <row r="44" spans="1:15" x14ac:dyDescent="0.2">
      <c r="A44" s="15" t="s">
        <v>100</v>
      </c>
      <c r="B44" s="15" t="s">
        <v>431</v>
      </c>
      <c r="C44" s="15" t="s">
        <v>406</v>
      </c>
      <c r="D44" s="15"/>
      <c r="E44" s="15">
        <v>4</v>
      </c>
      <c r="F44" s="15">
        <v>2</v>
      </c>
      <c r="G44" s="15">
        <v>0</v>
      </c>
      <c r="H44" s="15">
        <v>6</v>
      </c>
      <c r="I44" s="15"/>
      <c r="J44" s="15"/>
      <c r="K44" s="15"/>
      <c r="L44" s="15"/>
      <c r="M44" s="15"/>
      <c r="N44" s="15"/>
      <c r="O44" s="15"/>
    </row>
    <row r="45" spans="1:15" x14ac:dyDescent="0.2">
      <c r="A45" s="15" t="s">
        <v>100</v>
      </c>
      <c r="B45" s="15" t="s">
        <v>446</v>
      </c>
      <c r="C45" s="15"/>
      <c r="D45" s="15"/>
      <c r="E45" s="15">
        <v>4</v>
      </c>
      <c r="F45" s="15">
        <v>2</v>
      </c>
      <c r="G45" s="15">
        <v>0</v>
      </c>
      <c r="H45" s="15">
        <v>6</v>
      </c>
      <c r="I45" s="15"/>
      <c r="J45" s="15"/>
      <c r="K45" s="15"/>
      <c r="L45" s="15"/>
      <c r="M45" s="15"/>
      <c r="N45" s="15"/>
      <c r="O45" s="15"/>
    </row>
    <row r="46" spans="1:15" x14ac:dyDescent="0.2">
      <c r="A46" s="15" t="s">
        <v>100</v>
      </c>
      <c r="B46" s="15" t="s">
        <v>392</v>
      </c>
      <c r="C46" s="15"/>
      <c r="D46" s="15"/>
      <c r="E46" s="15">
        <v>4</v>
      </c>
      <c r="F46" s="15">
        <v>2</v>
      </c>
      <c r="G46" s="15">
        <v>0</v>
      </c>
      <c r="H46" s="15">
        <v>6</v>
      </c>
      <c r="I46" s="15"/>
      <c r="J46" s="15"/>
      <c r="K46" s="15"/>
      <c r="L46" s="15"/>
      <c r="M46" s="15"/>
      <c r="N46" s="15"/>
      <c r="O46" s="15"/>
    </row>
    <row r="47" spans="1:15" x14ac:dyDescent="0.2">
      <c r="A47" s="15" t="s">
        <v>101</v>
      </c>
      <c r="B47" s="15" t="s">
        <v>636</v>
      </c>
      <c r="C47" s="15"/>
      <c r="D47" s="15"/>
      <c r="E47" s="15">
        <v>1</v>
      </c>
      <c r="F47" s="15">
        <v>1</v>
      </c>
      <c r="G47" s="15">
        <v>0</v>
      </c>
      <c r="H47" s="15">
        <v>2</v>
      </c>
      <c r="I47" s="15"/>
      <c r="J47" s="15"/>
      <c r="K47" s="15"/>
      <c r="L47" s="15"/>
      <c r="M47" s="15"/>
      <c r="N47" s="15"/>
      <c r="O47" s="15"/>
    </row>
    <row r="48" spans="1:15" x14ac:dyDescent="0.2">
      <c r="A48" s="15" t="s">
        <v>105</v>
      </c>
      <c r="B48" s="15" t="s">
        <v>635</v>
      </c>
      <c r="C48" s="15"/>
      <c r="D48" s="15"/>
      <c r="E48" s="15">
        <v>6</v>
      </c>
      <c r="F48" s="15">
        <v>1</v>
      </c>
      <c r="G48" s="15">
        <v>0</v>
      </c>
      <c r="H48" s="15">
        <v>7</v>
      </c>
      <c r="I48" s="15"/>
      <c r="J48" s="15"/>
      <c r="K48" s="15"/>
      <c r="L48" s="15"/>
      <c r="M48" s="15"/>
      <c r="N48" s="15"/>
      <c r="O48" s="15"/>
    </row>
    <row r="49" spans="1:15" x14ac:dyDescent="0.2">
      <c r="A49" s="15" t="s">
        <v>105</v>
      </c>
      <c r="B49" s="15" t="s">
        <v>402</v>
      </c>
      <c r="C49" s="15"/>
      <c r="D49" s="15"/>
      <c r="E49" s="15">
        <v>6</v>
      </c>
      <c r="F49" s="15">
        <v>1</v>
      </c>
      <c r="G49" s="15">
        <v>0</v>
      </c>
      <c r="H49" s="15">
        <v>7</v>
      </c>
      <c r="I49" s="15"/>
      <c r="J49" s="15"/>
      <c r="K49" s="15"/>
      <c r="L49" s="15"/>
      <c r="M49" s="15"/>
      <c r="N49" s="15"/>
      <c r="O49" s="15"/>
    </row>
    <row r="50" spans="1:15" x14ac:dyDescent="0.2">
      <c r="A50" s="15" t="s">
        <v>105</v>
      </c>
      <c r="B50" s="15" t="s">
        <v>625</v>
      </c>
      <c r="C50" s="15"/>
      <c r="D50" s="15"/>
      <c r="E50" s="15">
        <v>6</v>
      </c>
      <c r="F50" s="15">
        <v>1</v>
      </c>
      <c r="G50" s="15">
        <v>0</v>
      </c>
      <c r="H50" s="15">
        <v>7</v>
      </c>
      <c r="I50" s="15"/>
      <c r="J50" s="15"/>
      <c r="K50" s="15"/>
      <c r="L50" s="15"/>
      <c r="M50" s="15"/>
      <c r="N50" s="15"/>
      <c r="O50" s="15"/>
    </row>
    <row r="51" spans="1:15" x14ac:dyDescent="0.2">
      <c r="A51" s="15" t="s">
        <v>105</v>
      </c>
      <c r="B51" s="15" t="s">
        <v>631</v>
      </c>
      <c r="C51" s="15"/>
      <c r="D51" s="15"/>
      <c r="E51" s="15">
        <v>6</v>
      </c>
      <c r="F51" s="15">
        <v>1</v>
      </c>
      <c r="G51" s="15">
        <v>0</v>
      </c>
      <c r="H51" s="15">
        <v>7</v>
      </c>
      <c r="I51" s="15"/>
      <c r="J51" s="15"/>
      <c r="K51" s="15"/>
      <c r="L51" s="15"/>
      <c r="M51" s="15"/>
      <c r="N51" s="15"/>
      <c r="O51" s="15"/>
    </row>
    <row r="52" spans="1:15" x14ac:dyDescent="0.2">
      <c r="A52" s="15" t="s">
        <v>105</v>
      </c>
      <c r="B52" s="15" t="s">
        <v>446</v>
      </c>
      <c r="C52" s="15"/>
      <c r="D52" s="15"/>
      <c r="E52" s="15">
        <v>6</v>
      </c>
      <c r="F52" s="15">
        <v>1</v>
      </c>
      <c r="G52" s="15">
        <v>0</v>
      </c>
      <c r="H52" s="15">
        <v>7</v>
      </c>
      <c r="I52" s="15"/>
      <c r="J52" s="15"/>
      <c r="K52" s="15"/>
      <c r="L52" s="15"/>
      <c r="M52" s="15"/>
      <c r="N52" s="15"/>
      <c r="O52" s="15"/>
    </row>
    <row r="53" spans="1:15" x14ac:dyDescent="0.2">
      <c r="A53" s="15" t="s">
        <v>105</v>
      </c>
      <c r="B53" s="15" t="s">
        <v>392</v>
      </c>
      <c r="C53" s="15"/>
      <c r="D53" s="15"/>
      <c r="E53" s="15">
        <v>6</v>
      </c>
      <c r="F53" s="15">
        <v>1</v>
      </c>
      <c r="G53" s="15">
        <v>0</v>
      </c>
      <c r="H53" s="15">
        <v>7</v>
      </c>
      <c r="I53" s="15"/>
      <c r="J53" s="15"/>
      <c r="K53" s="15"/>
      <c r="L53" s="15"/>
      <c r="M53" s="15"/>
      <c r="N53" s="15"/>
      <c r="O53" s="15"/>
    </row>
    <row r="54" spans="1:15" x14ac:dyDescent="0.2">
      <c r="A54" s="15" t="s">
        <v>106</v>
      </c>
      <c r="B54" s="15" t="s">
        <v>402</v>
      </c>
      <c r="C54" s="15"/>
      <c r="D54" s="15"/>
      <c r="E54" s="15">
        <v>7</v>
      </c>
      <c r="F54" s="15">
        <v>1</v>
      </c>
      <c r="G54" s="15">
        <v>0</v>
      </c>
      <c r="H54" s="15">
        <v>8</v>
      </c>
      <c r="I54" s="15"/>
      <c r="J54" s="15"/>
      <c r="K54" s="15"/>
      <c r="L54" s="15"/>
      <c r="M54" s="15"/>
      <c r="N54" s="15"/>
      <c r="O54" s="15"/>
    </row>
    <row r="55" spans="1:15" x14ac:dyDescent="0.2">
      <c r="A55" s="15" t="s">
        <v>106</v>
      </c>
      <c r="B55" s="15" t="s">
        <v>446</v>
      </c>
      <c r="C55" s="15"/>
      <c r="D55" s="15"/>
      <c r="E55" s="15">
        <v>7</v>
      </c>
      <c r="F55" s="15">
        <v>1</v>
      </c>
      <c r="G55" s="15">
        <v>0</v>
      </c>
      <c r="H55" s="15">
        <v>8</v>
      </c>
      <c r="I55" s="15"/>
      <c r="J55" s="15"/>
      <c r="K55" s="15"/>
      <c r="L55" s="15"/>
      <c r="M55" s="15"/>
      <c r="N55" s="15"/>
      <c r="O55" s="15"/>
    </row>
    <row r="56" spans="1:15" x14ac:dyDescent="0.2">
      <c r="A56" s="15" t="s">
        <v>106</v>
      </c>
      <c r="B56" s="15" t="s">
        <v>627</v>
      </c>
      <c r="C56" s="15"/>
      <c r="D56" s="15"/>
      <c r="E56" s="15">
        <v>7</v>
      </c>
      <c r="F56" s="15">
        <v>1</v>
      </c>
      <c r="G56" s="15">
        <v>0</v>
      </c>
      <c r="H56" s="15">
        <v>8</v>
      </c>
      <c r="I56" s="15"/>
      <c r="J56" s="15"/>
      <c r="K56" s="15"/>
      <c r="L56" s="15"/>
      <c r="M56" s="15"/>
      <c r="N56" s="15"/>
      <c r="O56" s="15"/>
    </row>
    <row r="57" spans="1:15" x14ac:dyDescent="0.2">
      <c r="A57" s="15" t="s">
        <v>106</v>
      </c>
      <c r="B57" s="15" t="s">
        <v>635</v>
      </c>
      <c r="C57" s="15"/>
      <c r="D57" s="15"/>
      <c r="E57" s="15">
        <v>7</v>
      </c>
      <c r="F57" s="15">
        <v>1</v>
      </c>
      <c r="G57" s="15">
        <v>0</v>
      </c>
      <c r="H57" s="15">
        <v>8</v>
      </c>
      <c r="I57" s="15"/>
      <c r="J57" s="15"/>
      <c r="K57" s="15"/>
      <c r="L57" s="15"/>
      <c r="M57" s="15"/>
      <c r="N57" s="15"/>
      <c r="O57" s="15"/>
    </row>
    <row r="58" spans="1:15" x14ac:dyDescent="0.2">
      <c r="A58" s="15" t="s">
        <v>106</v>
      </c>
      <c r="B58" s="15" t="s">
        <v>625</v>
      </c>
      <c r="C58" s="15"/>
      <c r="D58" s="15"/>
      <c r="E58" s="15">
        <v>7</v>
      </c>
      <c r="F58" s="15">
        <v>1</v>
      </c>
      <c r="G58" s="15">
        <v>0</v>
      </c>
      <c r="H58" s="15">
        <v>8</v>
      </c>
      <c r="I58" s="15"/>
      <c r="J58" s="15"/>
      <c r="K58" s="15"/>
      <c r="L58" s="15"/>
      <c r="M58" s="15"/>
      <c r="N58" s="15"/>
      <c r="O58" s="15"/>
    </row>
    <row r="59" spans="1:15" x14ac:dyDescent="0.2">
      <c r="A59" s="15" t="s">
        <v>106</v>
      </c>
      <c r="B59" s="15" t="s">
        <v>629</v>
      </c>
      <c r="C59" s="15"/>
      <c r="D59" s="15"/>
      <c r="E59" s="15">
        <v>7</v>
      </c>
      <c r="F59" s="15">
        <v>1</v>
      </c>
      <c r="G59" s="15">
        <v>0</v>
      </c>
      <c r="H59" s="15">
        <v>8</v>
      </c>
      <c r="I59" s="15"/>
      <c r="J59" s="15"/>
      <c r="K59" s="15"/>
      <c r="L59" s="15"/>
      <c r="M59" s="15"/>
      <c r="N59" s="15"/>
      <c r="O59" s="15"/>
    </row>
    <row r="60" spans="1:15" x14ac:dyDescent="0.2">
      <c r="A60" s="15" t="s">
        <v>106</v>
      </c>
      <c r="B60" s="15" t="s">
        <v>634</v>
      </c>
      <c r="C60" s="15"/>
      <c r="D60" s="15"/>
      <c r="E60" s="15">
        <v>7</v>
      </c>
      <c r="F60" s="15">
        <v>1</v>
      </c>
      <c r="G60" s="15">
        <v>0</v>
      </c>
      <c r="H60" s="15">
        <v>8</v>
      </c>
      <c r="I60" s="15"/>
      <c r="J60" s="15"/>
      <c r="K60" s="15"/>
      <c r="L60" s="15"/>
      <c r="M60" s="15"/>
      <c r="N60" s="15"/>
      <c r="O60" s="15"/>
    </row>
    <row r="61" spans="1:15" x14ac:dyDescent="0.2">
      <c r="A61" s="15" t="s">
        <v>107</v>
      </c>
      <c r="B61" s="15" t="s">
        <v>627</v>
      </c>
      <c r="C61" s="15" t="s">
        <v>406</v>
      </c>
      <c r="D61" s="15"/>
      <c r="E61" s="15">
        <v>4</v>
      </c>
      <c r="F61" s="15">
        <v>2</v>
      </c>
      <c r="G61" s="15">
        <v>0</v>
      </c>
      <c r="H61" s="15">
        <v>6</v>
      </c>
      <c r="I61" s="15"/>
      <c r="J61" s="15"/>
      <c r="K61" s="15"/>
      <c r="L61" s="15"/>
      <c r="M61" s="15"/>
      <c r="N61" s="15"/>
      <c r="O61" s="15"/>
    </row>
    <row r="62" spans="1:15" x14ac:dyDescent="0.2">
      <c r="A62" s="15" t="s">
        <v>107</v>
      </c>
      <c r="B62" s="15" t="s">
        <v>431</v>
      </c>
      <c r="C62" s="15" t="s">
        <v>633</v>
      </c>
      <c r="D62" s="15"/>
      <c r="E62" s="15">
        <v>4</v>
      </c>
      <c r="F62" s="15">
        <v>2</v>
      </c>
      <c r="G62" s="15">
        <v>0</v>
      </c>
      <c r="H62" s="15">
        <v>6</v>
      </c>
      <c r="I62" s="15"/>
      <c r="J62" s="15"/>
      <c r="K62" s="15"/>
      <c r="L62" s="15"/>
      <c r="M62" s="15"/>
      <c r="N62" s="15"/>
      <c r="O62" s="15"/>
    </row>
    <row r="63" spans="1:15" x14ac:dyDescent="0.2">
      <c r="A63" s="15" t="s">
        <v>107</v>
      </c>
      <c r="B63" s="15" t="s">
        <v>402</v>
      </c>
      <c r="C63" s="15"/>
      <c r="D63" s="15"/>
      <c r="E63" s="15">
        <v>4</v>
      </c>
      <c r="F63" s="15">
        <v>2</v>
      </c>
      <c r="G63" s="15">
        <v>0</v>
      </c>
      <c r="H63" s="15">
        <v>6</v>
      </c>
      <c r="I63" s="15"/>
      <c r="J63" s="15"/>
      <c r="K63" s="15"/>
      <c r="L63" s="15"/>
      <c r="M63" s="15"/>
      <c r="N63" s="15"/>
      <c r="O63" s="15"/>
    </row>
    <row r="64" spans="1:15" x14ac:dyDescent="0.2">
      <c r="A64" s="15" t="s">
        <v>107</v>
      </c>
      <c r="B64" s="15" t="s">
        <v>637</v>
      </c>
      <c r="C64" s="15"/>
      <c r="D64" s="15"/>
      <c r="E64" s="15">
        <v>4</v>
      </c>
      <c r="F64" s="15">
        <v>2</v>
      </c>
      <c r="G64" s="15">
        <v>0</v>
      </c>
      <c r="H64" s="15">
        <v>6</v>
      </c>
      <c r="I64" s="15"/>
      <c r="J64" s="15"/>
      <c r="K64" s="15"/>
      <c r="L64" s="15"/>
      <c r="M64" s="15"/>
      <c r="N64" s="15"/>
      <c r="O64" s="15"/>
    </row>
    <row r="65" spans="1:15" x14ac:dyDescent="0.2">
      <c r="A65" s="15" t="s">
        <v>109</v>
      </c>
      <c r="B65" s="15" t="s">
        <v>631</v>
      </c>
      <c r="C65" s="15" t="s">
        <v>386</v>
      </c>
      <c r="D65" s="15"/>
      <c r="E65" s="15">
        <v>2</v>
      </c>
      <c r="F65" s="15">
        <v>1</v>
      </c>
      <c r="G65" s="15">
        <v>0</v>
      </c>
      <c r="H65" s="15">
        <v>3</v>
      </c>
      <c r="I65" s="15"/>
      <c r="J65" s="15"/>
      <c r="K65" s="15"/>
      <c r="L65" s="15"/>
      <c r="M65" s="15"/>
      <c r="N65" s="15"/>
      <c r="O65" s="15"/>
    </row>
    <row r="66" spans="1:15" x14ac:dyDescent="0.2">
      <c r="A66" s="15" t="s">
        <v>109</v>
      </c>
      <c r="B66" s="15" t="s">
        <v>402</v>
      </c>
      <c r="C66" s="15"/>
      <c r="D66" s="15"/>
      <c r="E66" s="15">
        <v>2</v>
      </c>
      <c r="F66" s="15">
        <v>1</v>
      </c>
      <c r="G66" s="15">
        <v>0</v>
      </c>
      <c r="H66" s="15">
        <v>3</v>
      </c>
      <c r="I66" s="15"/>
      <c r="J66" s="15"/>
      <c r="K66" s="15"/>
      <c r="L66" s="15"/>
      <c r="M66" s="15"/>
      <c r="N66" s="15"/>
      <c r="O66" s="15"/>
    </row>
    <row r="67" spans="1:15" x14ac:dyDescent="0.2">
      <c r="A67" s="15" t="s">
        <v>111</v>
      </c>
      <c r="B67" s="15" t="s">
        <v>402</v>
      </c>
      <c r="C67" s="15"/>
      <c r="D67" s="15"/>
      <c r="E67" s="15">
        <v>2</v>
      </c>
      <c r="F67" s="15">
        <v>2</v>
      </c>
      <c r="G67" s="15">
        <v>0</v>
      </c>
      <c r="H67" s="15">
        <v>4</v>
      </c>
      <c r="I67" s="15"/>
      <c r="J67" s="15"/>
      <c r="K67" s="15"/>
      <c r="L67" s="15"/>
      <c r="M67" s="15"/>
      <c r="N67" s="15"/>
      <c r="O67" s="15"/>
    </row>
    <row r="68" spans="1:15" x14ac:dyDescent="0.2">
      <c r="A68" s="15" t="s">
        <v>111</v>
      </c>
      <c r="B68" s="15"/>
      <c r="C68" s="15" t="s">
        <v>633</v>
      </c>
      <c r="D68" s="15"/>
      <c r="E68" s="15">
        <v>2</v>
      </c>
      <c r="F68" s="15">
        <v>2</v>
      </c>
      <c r="G68" s="15">
        <v>0</v>
      </c>
      <c r="H68" s="15">
        <v>4</v>
      </c>
      <c r="I68" s="15"/>
      <c r="J68" s="15"/>
      <c r="K68" s="15"/>
      <c r="L68" s="15"/>
      <c r="M68" s="15"/>
      <c r="N68" s="15"/>
      <c r="O68" s="15"/>
    </row>
    <row r="69" spans="1:15" x14ac:dyDescent="0.2">
      <c r="A69" s="15" t="s">
        <v>111</v>
      </c>
      <c r="B69" s="15" t="s">
        <v>508</v>
      </c>
      <c r="C69" s="15" t="s">
        <v>406</v>
      </c>
      <c r="D69" s="15"/>
      <c r="E69" s="15">
        <v>2</v>
      </c>
      <c r="F69" s="15">
        <v>2</v>
      </c>
      <c r="G69" s="15">
        <v>0</v>
      </c>
      <c r="H69" s="15">
        <v>4</v>
      </c>
      <c r="I69" s="15"/>
      <c r="J69" s="15"/>
      <c r="K69" s="15"/>
      <c r="L69" s="15"/>
      <c r="M69" s="15"/>
      <c r="N69" s="15"/>
      <c r="O69" s="15"/>
    </row>
    <row r="70" spans="1:15" x14ac:dyDescent="0.2">
      <c r="A70" s="15" t="s">
        <v>112</v>
      </c>
      <c r="B70" s="15" t="s">
        <v>625</v>
      </c>
      <c r="C70" s="15" t="s">
        <v>406</v>
      </c>
      <c r="D70" s="15"/>
      <c r="E70" s="15">
        <v>4</v>
      </c>
      <c r="F70" s="15">
        <v>1</v>
      </c>
      <c r="G70" s="15">
        <v>0</v>
      </c>
      <c r="H70" s="15">
        <v>5</v>
      </c>
      <c r="I70" s="15"/>
      <c r="J70" s="15"/>
      <c r="K70" s="15"/>
      <c r="L70" s="15"/>
      <c r="M70" s="15"/>
      <c r="N70" s="15"/>
      <c r="O70" s="15"/>
    </row>
    <row r="71" spans="1:15" x14ac:dyDescent="0.2">
      <c r="A71" s="15" t="s">
        <v>112</v>
      </c>
      <c r="B71" s="15" t="s">
        <v>480</v>
      </c>
      <c r="C71" s="15"/>
      <c r="D71" s="15"/>
      <c r="E71" s="15">
        <v>4</v>
      </c>
      <c r="F71" s="15">
        <v>1</v>
      </c>
      <c r="G71" s="15">
        <v>0</v>
      </c>
      <c r="H71" s="15">
        <v>5</v>
      </c>
      <c r="I71" s="15"/>
      <c r="J71" s="15"/>
      <c r="K71" s="15"/>
      <c r="L71" s="15"/>
      <c r="M71" s="15"/>
      <c r="N71" s="15"/>
      <c r="O71" s="15"/>
    </row>
    <row r="72" spans="1:15" x14ac:dyDescent="0.2">
      <c r="A72" s="15" t="s">
        <v>112</v>
      </c>
      <c r="B72" s="15" t="s">
        <v>627</v>
      </c>
      <c r="C72" s="15"/>
      <c r="D72" s="15"/>
      <c r="E72" s="15">
        <v>4</v>
      </c>
      <c r="F72" s="15">
        <v>1</v>
      </c>
      <c r="G72" s="15">
        <v>0</v>
      </c>
      <c r="H72" s="15">
        <v>5</v>
      </c>
      <c r="I72" s="15"/>
      <c r="J72" s="15"/>
      <c r="K72" s="15"/>
      <c r="L72" s="15"/>
      <c r="M72" s="15"/>
      <c r="N72" s="15"/>
      <c r="O72" s="15"/>
    </row>
    <row r="73" spans="1:15" x14ac:dyDescent="0.2">
      <c r="A73" s="15" t="s">
        <v>112</v>
      </c>
      <c r="B73" s="15" t="s">
        <v>446</v>
      </c>
      <c r="C73" s="15"/>
      <c r="D73" s="15"/>
      <c r="E73" s="15">
        <v>4</v>
      </c>
      <c r="F73" s="15">
        <v>1</v>
      </c>
      <c r="G73" s="15">
        <v>0</v>
      </c>
      <c r="H73" s="15">
        <v>5</v>
      </c>
      <c r="I73" s="15"/>
      <c r="J73" s="15"/>
      <c r="K73" s="15"/>
      <c r="L73" s="15"/>
      <c r="M73" s="15"/>
      <c r="N73" s="15"/>
      <c r="O73" s="15"/>
    </row>
    <row r="74" spans="1:15" x14ac:dyDescent="0.2">
      <c r="A74" s="15" t="s">
        <v>114</v>
      </c>
      <c r="B74" s="15" t="s">
        <v>625</v>
      </c>
      <c r="C74" s="15" t="s">
        <v>406</v>
      </c>
      <c r="D74" s="15" t="s">
        <v>508</v>
      </c>
      <c r="E74" s="15">
        <v>3</v>
      </c>
      <c r="F74" s="15">
        <v>1</v>
      </c>
      <c r="G74" s="15">
        <v>2</v>
      </c>
      <c r="H74" s="15">
        <v>6</v>
      </c>
      <c r="I74" s="15"/>
      <c r="J74" s="15"/>
      <c r="K74" s="15"/>
      <c r="L74" s="15"/>
      <c r="M74" s="15"/>
      <c r="N74" s="15"/>
      <c r="O74" s="15"/>
    </row>
    <row r="75" spans="1:15" x14ac:dyDescent="0.2">
      <c r="A75" s="15" t="s">
        <v>114</v>
      </c>
      <c r="B75" s="15" t="s">
        <v>627</v>
      </c>
      <c r="C75" s="15"/>
      <c r="D75" s="15" t="s">
        <v>627</v>
      </c>
      <c r="E75" s="15">
        <v>3</v>
      </c>
      <c r="F75" s="15">
        <v>1</v>
      </c>
      <c r="G75" s="15">
        <v>2</v>
      </c>
      <c r="H75" s="15">
        <v>6</v>
      </c>
      <c r="I75" s="15"/>
      <c r="J75" s="15"/>
      <c r="K75" s="15"/>
      <c r="L75" s="15"/>
      <c r="M75" s="15"/>
      <c r="N75" s="15"/>
      <c r="O75" s="15"/>
    </row>
    <row r="76" spans="1:15" x14ac:dyDescent="0.2">
      <c r="A76" s="15" t="s">
        <v>114</v>
      </c>
      <c r="B76" s="15" t="s">
        <v>402</v>
      </c>
      <c r="C76" s="15"/>
      <c r="D76" s="15"/>
      <c r="E76" s="15">
        <v>3</v>
      </c>
      <c r="F76" s="15">
        <v>1</v>
      </c>
      <c r="G76" s="15">
        <v>2</v>
      </c>
      <c r="H76" s="15">
        <v>6</v>
      </c>
      <c r="I76" s="15"/>
      <c r="J76" s="15"/>
      <c r="K76" s="15"/>
      <c r="L76" s="15"/>
      <c r="M76" s="15"/>
      <c r="N76" s="15"/>
      <c r="O76" s="15"/>
    </row>
    <row r="77" spans="1:15" x14ac:dyDescent="0.2">
      <c r="A77" s="15" t="s">
        <v>116</v>
      </c>
      <c r="B77" s="15" t="s">
        <v>627</v>
      </c>
      <c r="C77" s="15"/>
      <c r="D77" s="15"/>
      <c r="E77" s="15">
        <v>3</v>
      </c>
      <c r="F77" s="15">
        <v>1</v>
      </c>
      <c r="G77" s="15">
        <v>0</v>
      </c>
      <c r="H77" s="15">
        <v>4</v>
      </c>
      <c r="I77" s="15"/>
      <c r="J77" s="15"/>
      <c r="K77" s="15"/>
      <c r="L77" s="15"/>
      <c r="M77" s="15"/>
      <c r="N77" s="15"/>
      <c r="O77" s="15"/>
    </row>
    <row r="78" spans="1:15" x14ac:dyDescent="0.2">
      <c r="A78" s="15" t="s">
        <v>116</v>
      </c>
      <c r="B78" s="15" t="s">
        <v>402</v>
      </c>
      <c r="C78" s="15"/>
      <c r="D78" s="15"/>
      <c r="E78" s="15">
        <v>3</v>
      </c>
      <c r="F78" s="15">
        <v>1</v>
      </c>
      <c r="G78" s="15">
        <v>0</v>
      </c>
      <c r="H78" s="15">
        <v>4</v>
      </c>
      <c r="I78" s="15"/>
      <c r="J78" s="15"/>
      <c r="K78" s="15"/>
      <c r="L78" s="15"/>
      <c r="M78" s="15"/>
      <c r="N78" s="15"/>
      <c r="O78" s="15"/>
    </row>
    <row r="79" spans="1:15" x14ac:dyDescent="0.2">
      <c r="A79" s="15" t="s">
        <v>116</v>
      </c>
      <c r="B79" s="15" t="s">
        <v>623</v>
      </c>
      <c r="C79" s="15"/>
      <c r="D79" s="15"/>
      <c r="E79" s="15">
        <v>3</v>
      </c>
      <c r="F79" s="15">
        <v>1</v>
      </c>
      <c r="G79" s="15">
        <v>0</v>
      </c>
      <c r="H79" s="15">
        <v>4</v>
      </c>
      <c r="I79" s="15"/>
      <c r="J79" s="15"/>
      <c r="K79" s="15"/>
      <c r="L79" s="15"/>
      <c r="M79" s="15"/>
      <c r="N79" s="15"/>
      <c r="O79" s="15"/>
    </row>
    <row r="80" spans="1:15" x14ac:dyDescent="0.2">
      <c r="A80" s="15" t="s">
        <v>117</v>
      </c>
      <c r="B80" s="15" t="s">
        <v>402</v>
      </c>
      <c r="C80" s="15" t="s">
        <v>406</v>
      </c>
      <c r="D80" s="15" t="s">
        <v>508</v>
      </c>
      <c r="E80" s="15">
        <v>3</v>
      </c>
      <c r="F80" s="15">
        <v>1</v>
      </c>
      <c r="G80" s="15">
        <v>2</v>
      </c>
      <c r="H80" s="15">
        <v>6</v>
      </c>
      <c r="I80" s="15"/>
      <c r="J80" s="15"/>
      <c r="K80" s="15"/>
      <c r="L80" s="15"/>
      <c r="M80" s="15"/>
      <c r="N80" s="15"/>
      <c r="O80" s="15"/>
    </row>
    <row r="81" spans="1:15" x14ac:dyDescent="0.2">
      <c r="A81" s="15" t="s">
        <v>117</v>
      </c>
      <c r="B81" s="15" t="s">
        <v>446</v>
      </c>
      <c r="C81" s="15"/>
      <c r="D81" s="15" t="s">
        <v>629</v>
      </c>
      <c r="E81" s="15">
        <v>3</v>
      </c>
      <c r="F81" s="15">
        <v>1</v>
      </c>
      <c r="G81" s="15">
        <v>2</v>
      </c>
      <c r="H81" s="15">
        <v>6</v>
      </c>
      <c r="I81" s="15"/>
      <c r="J81" s="15"/>
      <c r="K81" s="15"/>
      <c r="L81" s="15"/>
      <c r="M81" s="15"/>
      <c r="N81" s="15"/>
      <c r="O81" s="15"/>
    </row>
    <row r="82" spans="1:15" x14ac:dyDescent="0.2">
      <c r="A82" s="15" t="s">
        <v>117</v>
      </c>
      <c r="B82" s="15" t="s">
        <v>508</v>
      </c>
      <c r="C82" s="15"/>
      <c r="D82" s="15"/>
      <c r="E82" s="15">
        <v>3</v>
      </c>
      <c r="F82" s="15">
        <v>1</v>
      </c>
      <c r="G82" s="15">
        <v>2</v>
      </c>
      <c r="H82" s="15">
        <v>6</v>
      </c>
      <c r="I82" s="15"/>
      <c r="J82" s="15"/>
      <c r="K82" s="15"/>
      <c r="L82" s="15"/>
      <c r="M82" s="15"/>
      <c r="N82" s="15"/>
      <c r="O82" s="15"/>
    </row>
    <row r="83" spans="1:15" x14ac:dyDescent="0.2">
      <c r="A83" s="15" t="s">
        <v>119</v>
      </c>
      <c r="B83" s="15" t="s">
        <v>402</v>
      </c>
      <c r="C83" s="15" t="s">
        <v>406</v>
      </c>
      <c r="D83" s="15" t="s">
        <v>508</v>
      </c>
      <c r="E83" s="15">
        <v>4</v>
      </c>
      <c r="F83" s="15">
        <v>2</v>
      </c>
      <c r="G83" s="15">
        <v>2</v>
      </c>
      <c r="H83" s="15">
        <v>8</v>
      </c>
      <c r="I83" s="15"/>
      <c r="J83" s="15"/>
      <c r="K83" s="15"/>
      <c r="L83" s="15"/>
      <c r="M83" s="15"/>
      <c r="N83" s="15"/>
      <c r="O83" s="15"/>
    </row>
    <row r="84" spans="1:15" x14ac:dyDescent="0.2">
      <c r="A84" s="15" t="s">
        <v>119</v>
      </c>
      <c r="B84" s="15" t="s">
        <v>631</v>
      </c>
      <c r="C84" s="15" t="s">
        <v>386</v>
      </c>
      <c r="D84" s="15" t="s">
        <v>632</v>
      </c>
      <c r="E84" s="15">
        <v>4</v>
      </c>
      <c r="F84" s="15">
        <v>2</v>
      </c>
      <c r="G84" s="15">
        <v>2</v>
      </c>
      <c r="H84" s="15">
        <v>8</v>
      </c>
      <c r="I84" s="15"/>
      <c r="J84" s="15"/>
      <c r="K84" s="15"/>
      <c r="L84" s="15"/>
      <c r="M84" s="15"/>
      <c r="N84" s="15"/>
      <c r="O84" s="15"/>
    </row>
    <row r="85" spans="1:15" x14ac:dyDescent="0.2">
      <c r="A85" s="15" t="s">
        <v>119</v>
      </c>
      <c r="B85" s="15" t="s">
        <v>628</v>
      </c>
      <c r="C85" s="15"/>
      <c r="D85" s="15"/>
      <c r="E85" s="15">
        <v>4</v>
      </c>
      <c r="F85" s="15">
        <v>2</v>
      </c>
      <c r="G85" s="15">
        <v>2</v>
      </c>
      <c r="H85" s="15">
        <v>8</v>
      </c>
      <c r="I85" s="15"/>
      <c r="J85" s="15"/>
      <c r="K85" s="15"/>
      <c r="L85" s="15"/>
      <c r="M85" s="15"/>
      <c r="N85" s="15"/>
      <c r="O85" s="15"/>
    </row>
    <row r="86" spans="1:15" x14ac:dyDescent="0.2">
      <c r="A86" s="15" t="s">
        <v>119</v>
      </c>
      <c r="B86" s="15" t="s">
        <v>632</v>
      </c>
      <c r="C86" s="15"/>
      <c r="D86" s="15"/>
      <c r="E86" s="15">
        <v>4</v>
      </c>
      <c r="F86" s="15">
        <v>2</v>
      </c>
      <c r="G86" s="15">
        <v>2</v>
      </c>
      <c r="H86" s="15">
        <v>8</v>
      </c>
      <c r="I86" s="15"/>
      <c r="J86" s="15"/>
      <c r="K86" s="15"/>
      <c r="L86" s="15"/>
      <c r="M86" s="15"/>
      <c r="N86" s="15"/>
      <c r="O86" s="15"/>
    </row>
    <row r="87" spans="1:15" x14ac:dyDescent="0.2">
      <c r="A87" s="15" t="s">
        <v>120</v>
      </c>
      <c r="B87" s="15" t="s">
        <v>392</v>
      </c>
      <c r="C87" s="15" t="s">
        <v>406</v>
      </c>
      <c r="D87" s="15" t="s">
        <v>629</v>
      </c>
      <c r="E87" s="15">
        <v>3</v>
      </c>
      <c r="F87" s="15">
        <v>1</v>
      </c>
      <c r="G87" s="15">
        <v>2</v>
      </c>
      <c r="H87" s="15">
        <v>6</v>
      </c>
      <c r="I87" s="15"/>
      <c r="J87" s="15"/>
      <c r="K87" s="15"/>
      <c r="L87" s="15"/>
      <c r="M87" s="15"/>
      <c r="N87" s="15"/>
      <c r="O87" s="15"/>
    </row>
    <row r="88" spans="1:15" x14ac:dyDescent="0.2">
      <c r="A88" s="15" t="s">
        <v>120</v>
      </c>
      <c r="B88" s="15" t="s">
        <v>402</v>
      </c>
      <c r="C88" s="15"/>
      <c r="D88" s="15" t="s">
        <v>508</v>
      </c>
      <c r="E88" s="15">
        <v>3</v>
      </c>
      <c r="F88" s="15">
        <v>1</v>
      </c>
      <c r="G88" s="15">
        <v>2</v>
      </c>
      <c r="H88" s="15">
        <v>6</v>
      </c>
      <c r="I88" s="15"/>
      <c r="J88" s="15"/>
      <c r="K88" s="15"/>
      <c r="L88" s="15"/>
      <c r="M88" s="15"/>
      <c r="N88" s="15"/>
      <c r="O88" s="15"/>
    </row>
    <row r="89" spans="1:15" x14ac:dyDescent="0.2">
      <c r="A89" s="15" t="s">
        <v>120</v>
      </c>
      <c r="B89" s="15" t="s">
        <v>629</v>
      </c>
      <c r="C89" s="15"/>
      <c r="D89" s="15"/>
      <c r="E89" s="15">
        <v>3</v>
      </c>
      <c r="F89" s="15">
        <v>1</v>
      </c>
      <c r="G89" s="15">
        <v>2</v>
      </c>
      <c r="H89" s="15">
        <v>6</v>
      </c>
      <c r="I89" s="15"/>
      <c r="J89" s="15"/>
      <c r="K89" s="15"/>
      <c r="L89" s="15"/>
      <c r="M89" s="15"/>
      <c r="N89" s="15"/>
      <c r="O89" s="15"/>
    </row>
    <row r="90" spans="1:15" x14ac:dyDescent="0.2">
      <c r="A90" s="15" t="s">
        <v>122</v>
      </c>
      <c r="B90" s="15" t="s">
        <v>627</v>
      </c>
      <c r="C90" s="15" t="s">
        <v>415</v>
      </c>
      <c r="D90" s="15" t="s">
        <v>629</v>
      </c>
      <c r="E90" s="15">
        <v>5</v>
      </c>
      <c r="F90" s="15">
        <v>1</v>
      </c>
      <c r="G90" s="15">
        <v>1</v>
      </c>
      <c r="H90" s="15">
        <v>7</v>
      </c>
      <c r="I90" s="15"/>
      <c r="J90" s="15"/>
      <c r="K90" s="15"/>
      <c r="L90" s="15"/>
      <c r="M90" s="15"/>
      <c r="N90" s="15"/>
      <c r="O90" s="15"/>
    </row>
    <row r="91" spans="1:15" x14ac:dyDescent="0.2">
      <c r="A91" s="15" t="s">
        <v>122</v>
      </c>
      <c r="B91" s="15" t="s">
        <v>625</v>
      </c>
      <c r="C91" s="15"/>
      <c r="D91" s="15"/>
      <c r="E91" s="15">
        <v>5</v>
      </c>
      <c r="F91" s="15">
        <v>1</v>
      </c>
      <c r="G91" s="15">
        <v>1</v>
      </c>
      <c r="H91" s="15">
        <v>7</v>
      </c>
      <c r="I91" s="15"/>
      <c r="J91" s="15"/>
      <c r="K91" s="15"/>
      <c r="L91" s="15"/>
      <c r="M91" s="15"/>
      <c r="N91" s="15"/>
      <c r="O91" s="15"/>
    </row>
    <row r="92" spans="1:15" x14ac:dyDescent="0.2">
      <c r="A92" s="15" t="s">
        <v>122</v>
      </c>
      <c r="B92" s="15" t="s">
        <v>446</v>
      </c>
      <c r="C92" s="15"/>
      <c r="D92" s="15"/>
      <c r="E92" s="15">
        <v>5</v>
      </c>
      <c r="F92" s="15">
        <v>1</v>
      </c>
      <c r="G92" s="15">
        <v>1</v>
      </c>
      <c r="H92" s="15">
        <v>7</v>
      </c>
      <c r="I92" s="15"/>
      <c r="J92" s="15"/>
      <c r="K92" s="15"/>
      <c r="L92" s="15"/>
      <c r="M92" s="15"/>
      <c r="N92" s="15"/>
      <c r="O92" s="15"/>
    </row>
    <row r="93" spans="1:15" x14ac:dyDescent="0.2">
      <c r="A93" s="15" t="s">
        <v>122</v>
      </c>
      <c r="B93" s="15" t="s">
        <v>392</v>
      </c>
      <c r="C93" s="15"/>
      <c r="D93" s="15"/>
      <c r="E93" s="15">
        <v>5</v>
      </c>
      <c r="F93" s="15">
        <v>1</v>
      </c>
      <c r="G93" s="15">
        <v>1</v>
      </c>
      <c r="H93" s="15">
        <v>7</v>
      </c>
      <c r="I93" s="15"/>
      <c r="J93" s="15"/>
      <c r="K93" s="15"/>
      <c r="L93" s="15"/>
      <c r="M93" s="15"/>
      <c r="N93" s="15"/>
      <c r="O93" s="15"/>
    </row>
    <row r="94" spans="1:15" x14ac:dyDescent="0.2">
      <c r="A94" s="15" t="s">
        <v>122</v>
      </c>
      <c r="B94" s="15" t="s">
        <v>638</v>
      </c>
      <c r="C94" s="15"/>
      <c r="D94" s="15"/>
      <c r="E94" s="15">
        <v>5</v>
      </c>
      <c r="F94" s="15">
        <v>1</v>
      </c>
      <c r="G94" s="15">
        <v>1</v>
      </c>
      <c r="H94" s="15">
        <v>7</v>
      </c>
      <c r="I94" s="15"/>
      <c r="J94" s="15"/>
      <c r="K94" s="15"/>
      <c r="L94" s="15"/>
      <c r="M94" s="15"/>
      <c r="N94" s="15"/>
      <c r="O94" s="15"/>
    </row>
    <row r="95" spans="1:15" x14ac:dyDescent="0.2">
      <c r="A95" s="15" t="s">
        <v>123</v>
      </c>
      <c r="B95" s="15" t="s">
        <v>625</v>
      </c>
      <c r="C95" s="15" t="s">
        <v>406</v>
      </c>
      <c r="D95" s="15" t="s">
        <v>508</v>
      </c>
      <c r="E95" s="15">
        <v>5</v>
      </c>
      <c r="F95" s="15">
        <v>2</v>
      </c>
      <c r="G95" s="15">
        <v>1</v>
      </c>
      <c r="H95" s="15">
        <v>8</v>
      </c>
      <c r="I95" s="15"/>
      <c r="J95" s="15"/>
      <c r="K95" s="15"/>
      <c r="L95" s="15"/>
      <c r="M95" s="15"/>
      <c r="N95" s="15"/>
      <c r="O95" s="15"/>
    </row>
    <row r="96" spans="1:15" x14ac:dyDescent="0.2">
      <c r="A96" s="15" t="s">
        <v>123</v>
      </c>
      <c r="B96" s="15" t="s">
        <v>631</v>
      </c>
      <c r="C96" s="15" t="s">
        <v>415</v>
      </c>
      <c r="D96" s="15"/>
      <c r="E96" s="15">
        <v>5</v>
      </c>
      <c r="F96" s="15">
        <v>2</v>
      </c>
      <c r="G96" s="15">
        <v>1</v>
      </c>
      <c r="H96" s="15">
        <v>8</v>
      </c>
      <c r="I96" s="15"/>
      <c r="J96" s="15"/>
      <c r="K96" s="15"/>
      <c r="L96" s="15"/>
      <c r="M96" s="15"/>
      <c r="N96" s="15"/>
      <c r="O96" s="15"/>
    </row>
    <row r="97" spans="1:15" x14ac:dyDescent="0.2">
      <c r="A97" s="15" t="s">
        <v>123</v>
      </c>
      <c r="B97" s="15" t="s">
        <v>402</v>
      </c>
      <c r="C97" s="15"/>
      <c r="D97" s="15"/>
      <c r="E97" s="15">
        <v>5</v>
      </c>
      <c r="F97" s="15">
        <v>2</v>
      </c>
      <c r="G97" s="15">
        <v>1</v>
      </c>
      <c r="H97" s="15">
        <v>8</v>
      </c>
      <c r="I97" s="15"/>
      <c r="J97" s="15"/>
      <c r="K97" s="15"/>
      <c r="L97" s="15"/>
      <c r="M97" s="15"/>
      <c r="N97" s="15"/>
      <c r="O97" s="15"/>
    </row>
    <row r="98" spans="1:15" x14ac:dyDescent="0.2">
      <c r="A98" s="15" t="s">
        <v>123</v>
      </c>
      <c r="B98" s="15" t="s">
        <v>508</v>
      </c>
      <c r="C98" s="15"/>
      <c r="D98" s="15"/>
      <c r="E98" s="15">
        <v>5</v>
      </c>
      <c r="F98" s="15">
        <v>2</v>
      </c>
      <c r="G98" s="15">
        <v>1</v>
      </c>
      <c r="H98" s="15">
        <v>8</v>
      </c>
      <c r="I98" s="15"/>
      <c r="J98" s="15"/>
      <c r="K98" s="15"/>
      <c r="L98" s="15"/>
      <c r="M98" s="15"/>
      <c r="N98" s="15"/>
      <c r="O98" s="15"/>
    </row>
    <row r="99" spans="1:15" x14ac:dyDescent="0.2">
      <c r="A99" s="15" t="s">
        <v>123</v>
      </c>
      <c r="B99" s="15" t="s">
        <v>446</v>
      </c>
      <c r="C99" s="15"/>
      <c r="D99" s="15"/>
      <c r="E99" s="15">
        <v>5</v>
      </c>
      <c r="F99" s="15">
        <v>2</v>
      </c>
      <c r="G99" s="15">
        <v>1</v>
      </c>
      <c r="H99" s="15">
        <v>8</v>
      </c>
      <c r="I99" s="15"/>
      <c r="J99" s="15"/>
      <c r="K99" s="15"/>
      <c r="L99" s="15"/>
      <c r="M99" s="15"/>
      <c r="N99" s="15"/>
      <c r="O99" s="15"/>
    </row>
    <row r="100" spans="1:15" x14ac:dyDescent="0.2">
      <c r="A100" s="15" t="s">
        <v>125</v>
      </c>
      <c r="B100" s="15" t="s">
        <v>402</v>
      </c>
      <c r="C100" s="15" t="s">
        <v>406</v>
      </c>
      <c r="D100" s="15" t="s">
        <v>629</v>
      </c>
      <c r="E100" s="15">
        <v>5</v>
      </c>
      <c r="F100" s="15">
        <v>1</v>
      </c>
      <c r="G100" s="15">
        <v>3</v>
      </c>
      <c r="H100" s="15">
        <v>9</v>
      </c>
      <c r="I100" s="15"/>
      <c r="J100" s="15"/>
      <c r="K100" s="15"/>
      <c r="L100" s="15"/>
      <c r="M100" s="15"/>
      <c r="N100" s="15"/>
      <c r="O100" s="15"/>
    </row>
    <row r="101" spans="1:15" x14ac:dyDescent="0.2">
      <c r="A101" s="15" t="s">
        <v>125</v>
      </c>
      <c r="B101" s="15" t="s">
        <v>508</v>
      </c>
      <c r="C101" s="15"/>
      <c r="D101" s="15" t="s">
        <v>508</v>
      </c>
      <c r="E101" s="15">
        <v>5</v>
      </c>
      <c r="F101" s="15">
        <v>1</v>
      </c>
      <c r="G101" s="15">
        <v>3</v>
      </c>
      <c r="H101" s="15">
        <v>9</v>
      </c>
      <c r="I101" s="15"/>
      <c r="J101" s="15"/>
      <c r="K101" s="15"/>
      <c r="L101" s="15"/>
      <c r="M101" s="15"/>
      <c r="N101" s="15"/>
      <c r="O101" s="15"/>
    </row>
    <row r="102" spans="1:15" x14ac:dyDescent="0.2">
      <c r="A102" s="15" t="s">
        <v>125</v>
      </c>
      <c r="B102" s="15" t="s">
        <v>627</v>
      </c>
      <c r="C102" s="15"/>
      <c r="D102" s="15" t="s">
        <v>638</v>
      </c>
      <c r="E102" s="15">
        <v>5</v>
      </c>
      <c r="F102" s="15">
        <v>1</v>
      </c>
      <c r="G102" s="15">
        <v>3</v>
      </c>
      <c r="H102" s="15">
        <v>9</v>
      </c>
      <c r="I102" s="15"/>
      <c r="J102" s="15"/>
      <c r="K102" s="15"/>
      <c r="L102" s="15"/>
      <c r="M102" s="15"/>
      <c r="N102" s="15"/>
      <c r="O102" s="15"/>
    </row>
    <row r="103" spans="1:15" x14ac:dyDescent="0.2">
      <c r="A103" s="15" t="s">
        <v>125</v>
      </c>
      <c r="B103" s="15" t="s">
        <v>625</v>
      </c>
      <c r="C103" s="15"/>
      <c r="D103" s="15"/>
      <c r="E103" s="15">
        <v>5</v>
      </c>
      <c r="F103" s="15">
        <v>1</v>
      </c>
      <c r="G103" s="15">
        <v>3</v>
      </c>
      <c r="H103" s="15">
        <v>9</v>
      </c>
      <c r="I103" s="15"/>
      <c r="J103" s="15"/>
      <c r="K103" s="15"/>
      <c r="L103" s="15"/>
      <c r="M103" s="15"/>
      <c r="N103" s="15"/>
      <c r="O103" s="15"/>
    </row>
    <row r="104" spans="1:15" x14ac:dyDescent="0.2">
      <c r="A104" s="15" t="s">
        <v>125</v>
      </c>
      <c r="B104" s="15" t="s">
        <v>631</v>
      </c>
      <c r="C104" s="15"/>
      <c r="D104" s="15"/>
      <c r="E104" s="15">
        <v>5</v>
      </c>
      <c r="F104" s="15">
        <v>1</v>
      </c>
      <c r="G104" s="15">
        <v>3</v>
      </c>
      <c r="H104" s="15">
        <v>9</v>
      </c>
      <c r="I104" s="15"/>
      <c r="J104" s="15"/>
      <c r="K104" s="15"/>
      <c r="L104" s="15"/>
      <c r="M104" s="15"/>
      <c r="N104" s="15"/>
      <c r="O104" s="15"/>
    </row>
    <row r="105" spans="1:15" x14ac:dyDescent="0.2">
      <c r="A105" s="15" t="s">
        <v>126</v>
      </c>
      <c r="B105" s="15" t="s">
        <v>402</v>
      </c>
      <c r="C105" s="15" t="s">
        <v>406</v>
      </c>
      <c r="D105" s="15" t="s">
        <v>508</v>
      </c>
      <c r="E105" s="15">
        <v>5</v>
      </c>
      <c r="F105" s="15">
        <v>1</v>
      </c>
      <c r="G105" s="15">
        <v>2</v>
      </c>
      <c r="H105" s="15">
        <v>8</v>
      </c>
      <c r="I105" s="15"/>
      <c r="J105" s="15"/>
      <c r="K105" s="15"/>
      <c r="L105" s="15"/>
      <c r="M105" s="15"/>
      <c r="N105" s="15"/>
      <c r="O105" s="15"/>
    </row>
    <row r="106" spans="1:15" x14ac:dyDescent="0.2">
      <c r="A106" s="15" t="s">
        <v>126</v>
      </c>
      <c r="B106" s="15" t="s">
        <v>627</v>
      </c>
      <c r="C106" s="15"/>
      <c r="D106" s="15" t="s">
        <v>625</v>
      </c>
      <c r="E106" s="15">
        <v>5</v>
      </c>
      <c r="F106" s="15">
        <v>1</v>
      </c>
      <c r="G106" s="15">
        <v>2</v>
      </c>
      <c r="H106" s="15">
        <v>8</v>
      </c>
      <c r="I106" s="15"/>
      <c r="J106" s="15"/>
      <c r="K106" s="15"/>
      <c r="L106" s="15"/>
      <c r="M106" s="15"/>
      <c r="N106" s="15"/>
      <c r="O106" s="15"/>
    </row>
    <row r="107" spans="1:15" x14ac:dyDescent="0.2">
      <c r="A107" s="15" t="s">
        <v>126</v>
      </c>
      <c r="B107" s="15" t="s">
        <v>446</v>
      </c>
      <c r="C107" s="15"/>
      <c r="D107" s="15"/>
      <c r="E107" s="15">
        <v>5</v>
      </c>
      <c r="F107" s="15">
        <v>1</v>
      </c>
      <c r="G107" s="15">
        <v>2</v>
      </c>
      <c r="H107" s="15">
        <v>8</v>
      </c>
      <c r="I107" s="15"/>
      <c r="J107" s="15"/>
      <c r="K107" s="15"/>
      <c r="L107" s="15"/>
      <c r="M107" s="15"/>
      <c r="N107" s="15"/>
      <c r="O107" s="15"/>
    </row>
    <row r="108" spans="1:15" x14ac:dyDescent="0.2">
      <c r="A108" s="15" t="s">
        <v>126</v>
      </c>
      <c r="B108" s="15" t="s">
        <v>625</v>
      </c>
      <c r="C108" s="15"/>
      <c r="D108" s="15"/>
      <c r="E108" s="15">
        <v>5</v>
      </c>
      <c r="F108" s="15">
        <v>1</v>
      </c>
      <c r="G108" s="15">
        <v>2</v>
      </c>
      <c r="H108" s="15">
        <v>8</v>
      </c>
      <c r="I108" s="15"/>
      <c r="J108" s="15"/>
      <c r="K108" s="15"/>
      <c r="L108" s="15"/>
      <c r="M108" s="15"/>
      <c r="N108" s="15"/>
      <c r="O108" s="15"/>
    </row>
    <row r="109" spans="1:15" x14ac:dyDescent="0.2">
      <c r="A109" s="15" t="s">
        <v>126</v>
      </c>
      <c r="B109" s="15" t="s">
        <v>480</v>
      </c>
      <c r="C109" s="15"/>
      <c r="D109" s="15"/>
      <c r="E109" s="15">
        <v>5</v>
      </c>
      <c r="F109" s="15">
        <v>1</v>
      </c>
      <c r="G109" s="15">
        <v>2</v>
      </c>
      <c r="H109" s="15">
        <v>8</v>
      </c>
      <c r="I109" s="15"/>
      <c r="J109" s="15"/>
      <c r="K109" s="15"/>
      <c r="L109" s="15"/>
      <c r="M109" s="15"/>
      <c r="N109" s="15"/>
      <c r="O109" s="15"/>
    </row>
    <row r="110" spans="1:15" x14ac:dyDescent="0.2">
      <c r="A110" s="15" t="s">
        <v>127</v>
      </c>
      <c r="B110" s="15" t="s">
        <v>508</v>
      </c>
      <c r="C110" s="15" t="s">
        <v>406</v>
      </c>
      <c r="D110" s="15" t="s">
        <v>629</v>
      </c>
      <c r="E110" s="15">
        <v>4</v>
      </c>
      <c r="F110" s="15">
        <v>2</v>
      </c>
      <c r="G110" s="15">
        <v>2</v>
      </c>
      <c r="H110" s="15">
        <v>8</v>
      </c>
      <c r="I110" s="15"/>
      <c r="J110" s="15"/>
      <c r="K110" s="15"/>
      <c r="L110" s="15"/>
      <c r="M110" s="15"/>
      <c r="N110" s="15"/>
      <c r="O110" s="15"/>
    </row>
    <row r="111" spans="1:15" x14ac:dyDescent="0.2">
      <c r="A111" s="15" t="s">
        <v>127</v>
      </c>
      <c r="B111" s="15" t="s">
        <v>639</v>
      </c>
      <c r="C111" s="15" t="s">
        <v>386</v>
      </c>
      <c r="D111" s="15" t="s">
        <v>508</v>
      </c>
      <c r="E111" s="15">
        <v>4</v>
      </c>
      <c r="F111" s="15">
        <v>2</v>
      </c>
      <c r="G111" s="15">
        <v>2</v>
      </c>
      <c r="H111" s="15">
        <v>8</v>
      </c>
      <c r="I111" s="15"/>
      <c r="J111" s="15"/>
      <c r="K111" s="15"/>
      <c r="L111" s="15"/>
      <c r="M111" s="15"/>
      <c r="N111" s="15"/>
      <c r="O111" s="15"/>
    </row>
    <row r="112" spans="1:15" x14ac:dyDescent="0.2">
      <c r="A112" s="15" t="s">
        <v>127</v>
      </c>
      <c r="B112" s="15" t="s">
        <v>402</v>
      </c>
      <c r="C112" s="15"/>
      <c r="D112" s="15"/>
      <c r="E112" s="15">
        <v>4</v>
      </c>
      <c r="F112" s="15">
        <v>2</v>
      </c>
      <c r="G112" s="15">
        <v>2</v>
      </c>
      <c r="H112" s="15">
        <v>8</v>
      </c>
      <c r="I112" s="15"/>
      <c r="J112" s="15"/>
      <c r="K112" s="15"/>
      <c r="L112" s="15"/>
      <c r="M112" s="15"/>
      <c r="N112" s="15"/>
      <c r="O112" s="15"/>
    </row>
    <row r="113" spans="1:15" x14ac:dyDescent="0.2">
      <c r="A113" s="15" t="s">
        <v>127</v>
      </c>
      <c r="B113" s="15" t="s">
        <v>627</v>
      </c>
      <c r="C113" s="15"/>
      <c r="D113" s="15"/>
      <c r="E113" s="15">
        <v>4</v>
      </c>
      <c r="F113" s="15">
        <v>2</v>
      </c>
      <c r="G113" s="15">
        <v>2</v>
      </c>
      <c r="H113" s="15">
        <v>8</v>
      </c>
      <c r="I113" s="15"/>
      <c r="J113" s="15"/>
      <c r="K113" s="15"/>
      <c r="L113" s="15"/>
      <c r="M113" s="15"/>
      <c r="N113" s="15"/>
      <c r="O113" s="15"/>
    </row>
    <row r="114" spans="1:15" x14ac:dyDescent="0.2">
      <c r="A114" s="15" t="s">
        <v>128</v>
      </c>
      <c r="B114" s="15"/>
      <c r="C114" s="15" t="s">
        <v>406</v>
      </c>
      <c r="D114" s="15" t="s">
        <v>508</v>
      </c>
      <c r="E114" s="15">
        <v>3</v>
      </c>
      <c r="F114" s="15">
        <v>1</v>
      </c>
      <c r="G114" s="15">
        <v>4</v>
      </c>
      <c r="H114" s="15">
        <v>8</v>
      </c>
      <c r="I114" s="15"/>
      <c r="J114" s="15"/>
      <c r="K114" s="15"/>
      <c r="L114" s="15"/>
      <c r="M114" s="15"/>
      <c r="N114" s="15"/>
      <c r="O114" s="15"/>
    </row>
    <row r="115" spans="1:15" x14ac:dyDescent="0.2">
      <c r="A115" s="15" t="s">
        <v>128</v>
      </c>
      <c r="B115" s="15" t="s">
        <v>402</v>
      </c>
      <c r="C115" s="15"/>
      <c r="D115" s="15" t="s">
        <v>625</v>
      </c>
      <c r="E115" s="15">
        <v>3</v>
      </c>
      <c r="F115" s="15">
        <v>1</v>
      </c>
      <c r="G115" s="15">
        <v>4</v>
      </c>
      <c r="H115" s="15">
        <v>8</v>
      </c>
      <c r="I115" s="15"/>
      <c r="J115" s="15"/>
      <c r="K115" s="15"/>
      <c r="L115" s="15"/>
      <c r="M115" s="15"/>
      <c r="N115" s="15"/>
      <c r="O115" s="15"/>
    </row>
    <row r="116" spans="1:15" x14ac:dyDescent="0.2">
      <c r="A116" s="15" t="s">
        <v>128</v>
      </c>
      <c r="B116" s="15" t="s">
        <v>627</v>
      </c>
      <c r="C116" s="15"/>
      <c r="D116" s="15" t="s">
        <v>627</v>
      </c>
      <c r="E116" s="15">
        <v>3</v>
      </c>
      <c r="F116" s="15">
        <v>1</v>
      </c>
      <c r="G116" s="15">
        <v>4</v>
      </c>
      <c r="H116" s="15">
        <v>8</v>
      </c>
      <c r="I116" s="15"/>
      <c r="J116" s="15"/>
      <c r="K116" s="15"/>
      <c r="L116" s="15"/>
      <c r="M116" s="15"/>
      <c r="N116" s="15"/>
      <c r="O116" s="15"/>
    </row>
    <row r="117" spans="1:15" x14ac:dyDescent="0.2">
      <c r="A117" s="15" t="s">
        <v>128</v>
      </c>
      <c r="B117" s="15" t="s">
        <v>631</v>
      </c>
      <c r="C117" s="15"/>
      <c r="D117" s="15" t="s">
        <v>632</v>
      </c>
      <c r="E117" s="15">
        <v>3</v>
      </c>
      <c r="F117" s="15">
        <v>1</v>
      </c>
      <c r="G117" s="15">
        <v>4</v>
      </c>
      <c r="H117" s="15">
        <v>8</v>
      </c>
      <c r="I117" s="15"/>
      <c r="J117" s="15"/>
      <c r="K117" s="15"/>
      <c r="L117" s="15"/>
      <c r="M117" s="15"/>
      <c r="N117" s="15"/>
      <c r="O117" s="15"/>
    </row>
    <row r="118" spans="1:15" x14ac:dyDescent="0.2">
      <c r="A118" s="15" t="s">
        <v>129</v>
      </c>
      <c r="B118" s="15" t="s">
        <v>629</v>
      </c>
      <c r="C118" s="15" t="s">
        <v>406</v>
      </c>
      <c r="D118" s="15" t="s">
        <v>629</v>
      </c>
      <c r="E118" s="15">
        <v>6</v>
      </c>
      <c r="F118" s="15">
        <v>1</v>
      </c>
      <c r="G118" s="15">
        <v>2</v>
      </c>
      <c r="H118" s="15">
        <v>9</v>
      </c>
      <c r="I118" s="15"/>
      <c r="J118" s="15"/>
      <c r="K118" s="15"/>
      <c r="L118" s="15"/>
      <c r="M118" s="15"/>
      <c r="N118" s="15"/>
      <c r="O118" s="15"/>
    </row>
    <row r="119" spans="1:15" x14ac:dyDescent="0.2">
      <c r="A119" s="15" t="s">
        <v>129</v>
      </c>
      <c r="B119" s="15" t="s">
        <v>627</v>
      </c>
      <c r="C119" s="15"/>
      <c r="D119" s="15" t="s">
        <v>508</v>
      </c>
      <c r="E119" s="15">
        <v>6</v>
      </c>
      <c r="F119" s="15">
        <v>1</v>
      </c>
      <c r="G119" s="15">
        <v>2</v>
      </c>
      <c r="H119" s="15">
        <v>9</v>
      </c>
      <c r="I119" s="15"/>
      <c r="J119" s="15"/>
      <c r="K119" s="15"/>
      <c r="L119" s="15"/>
      <c r="M119" s="15"/>
      <c r="N119" s="15"/>
      <c r="O119" s="15"/>
    </row>
    <row r="120" spans="1:15" x14ac:dyDescent="0.2">
      <c r="A120" s="15" t="s">
        <v>129</v>
      </c>
      <c r="B120" s="15" t="s">
        <v>402</v>
      </c>
      <c r="C120" s="15"/>
      <c r="D120" s="15"/>
      <c r="E120" s="15">
        <v>6</v>
      </c>
      <c r="F120" s="15">
        <v>1</v>
      </c>
      <c r="G120" s="15">
        <v>2</v>
      </c>
      <c r="H120" s="15">
        <v>9</v>
      </c>
      <c r="I120" s="15"/>
      <c r="J120" s="15"/>
      <c r="K120" s="15"/>
      <c r="L120" s="15"/>
      <c r="M120" s="15"/>
      <c r="N120" s="15"/>
      <c r="O120" s="15"/>
    </row>
    <row r="121" spans="1:15" x14ac:dyDescent="0.2">
      <c r="A121" s="15" t="s">
        <v>129</v>
      </c>
      <c r="B121" s="15" t="s">
        <v>625</v>
      </c>
      <c r="C121" s="15"/>
      <c r="D121" s="15"/>
      <c r="E121" s="15">
        <v>6</v>
      </c>
      <c r="F121" s="15">
        <v>1</v>
      </c>
      <c r="G121" s="15">
        <v>2</v>
      </c>
      <c r="H121" s="15">
        <v>9</v>
      </c>
      <c r="I121" s="15"/>
      <c r="J121" s="15"/>
      <c r="K121" s="15"/>
      <c r="L121" s="15"/>
      <c r="M121" s="15"/>
      <c r="N121" s="15"/>
      <c r="O121" s="15"/>
    </row>
    <row r="122" spans="1:15" x14ac:dyDescent="0.2">
      <c r="A122" s="15" t="s">
        <v>129</v>
      </c>
      <c r="B122" s="15" t="s">
        <v>480</v>
      </c>
      <c r="C122" s="15"/>
      <c r="D122" s="15"/>
      <c r="E122" s="15">
        <v>6</v>
      </c>
      <c r="F122" s="15">
        <v>1</v>
      </c>
      <c r="G122" s="15">
        <v>2</v>
      </c>
      <c r="H122" s="15">
        <v>9</v>
      </c>
      <c r="I122" s="15"/>
      <c r="J122" s="15"/>
      <c r="K122" s="15"/>
      <c r="L122" s="15"/>
      <c r="M122" s="15"/>
      <c r="N122" s="15"/>
      <c r="O122" s="15"/>
    </row>
    <row r="123" spans="1:15" x14ac:dyDescent="0.2">
      <c r="A123" s="15" t="s">
        <v>129</v>
      </c>
      <c r="B123" s="15" t="s">
        <v>631</v>
      </c>
      <c r="C123" s="15"/>
      <c r="D123" s="15"/>
      <c r="E123" s="15">
        <v>6</v>
      </c>
      <c r="F123" s="15">
        <v>1</v>
      </c>
      <c r="G123" s="15">
        <v>2</v>
      </c>
      <c r="H123" s="15">
        <v>9</v>
      </c>
      <c r="I123" s="15"/>
      <c r="J123" s="15"/>
      <c r="K123" s="15"/>
      <c r="L123" s="15"/>
      <c r="M123" s="15"/>
      <c r="N123" s="15"/>
      <c r="O123" s="15"/>
    </row>
    <row r="124" spans="1:15" x14ac:dyDescent="0.2">
      <c r="A124" s="15" t="s">
        <v>130</v>
      </c>
      <c r="B124" s="15" t="s">
        <v>627</v>
      </c>
      <c r="C124" s="15" t="s">
        <v>406</v>
      </c>
      <c r="D124" s="15" t="s">
        <v>508</v>
      </c>
      <c r="E124" s="15">
        <v>4</v>
      </c>
      <c r="F124" s="15">
        <v>1</v>
      </c>
      <c r="G124" s="15">
        <v>3</v>
      </c>
      <c r="H124" s="15">
        <v>8</v>
      </c>
      <c r="I124" s="15"/>
      <c r="J124" s="15"/>
      <c r="K124" s="15"/>
      <c r="L124" s="15"/>
      <c r="M124" s="15"/>
      <c r="N124" s="15"/>
      <c r="O124" s="15"/>
    </row>
    <row r="125" spans="1:15" x14ac:dyDescent="0.2">
      <c r="A125" s="15" t="s">
        <v>130</v>
      </c>
      <c r="B125" s="15" t="s">
        <v>402</v>
      </c>
      <c r="C125" s="15"/>
      <c r="D125" s="15" t="s">
        <v>627</v>
      </c>
      <c r="E125" s="15">
        <v>4</v>
      </c>
      <c r="F125" s="15">
        <v>1</v>
      </c>
      <c r="G125" s="15">
        <v>3</v>
      </c>
      <c r="H125" s="15">
        <v>8</v>
      </c>
      <c r="I125" s="15"/>
      <c r="J125" s="15"/>
      <c r="K125" s="15"/>
      <c r="L125" s="15"/>
      <c r="M125" s="15"/>
      <c r="N125" s="15"/>
      <c r="O125" s="15"/>
    </row>
    <row r="126" spans="1:15" x14ac:dyDescent="0.2">
      <c r="A126" s="15" t="s">
        <v>130</v>
      </c>
      <c r="B126" s="15" t="s">
        <v>625</v>
      </c>
      <c r="C126" s="15"/>
      <c r="D126" s="15" t="s">
        <v>625</v>
      </c>
      <c r="E126" s="15">
        <v>4</v>
      </c>
      <c r="F126" s="15">
        <v>1</v>
      </c>
      <c r="G126" s="15">
        <v>3</v>
      </c>
      <c r="H126" s="15">
        <v>8</v>
      </c>
      <c r="I126" s="15"/>
      <c r="J126" s="15"/>
      <c r="K126" s="15"/>
      <c r="L126" s="15"/>
      <c r="M126" s="15"/>
      <c r="N126" s="15"/>
      <c r="O126" s="15"/>
    </row>
    <row r="127" spans="1:15" x14ac:dyDescent="0.2">
      <c r="A127" s="15" t="s">
        <v>130</v>
      </c>
      <c r="B127" s="15" t="s">
        <v>631</v>
      </c>
      <c r="C127" s="15"/>
      <c r="D127" s="15"/>
      <c r="E127" s="15">
        <v>4</v>
      </c>
      <c r="F127" s="15">
        <v>1</v>
      </c>
      <c r="G127" s="15">
        <v>3</v>
      </c>
      <c r="H127" s="15">
        <v>8</v>
      </c>
      <c r="I127" s="15"/>
      <c r="J127" s="15"/>
      <c r="K127" s="15"/>
      <c r="L127" s="15"/>
      <c r="M127" s="15"/>
      <c r="N127" s="15"/>
      <c r="O127" s="15"/>
    </row>
    <row r="128" spans="1:15" x14ac:dyDescent="0.2">
      <c r="A128" s="15" t="s">
        <v>131</v>
      </c>
      <c r="B128" s="15" t="s">
        <v>632</v>
      </c>
      <c r="C128" s="15" t="s">
        <v>406</v>
      </c>
      <c r="D128" s="15" t="s">
        <v>626</v>
      </c>
      <c r="E128" s="15">
        <v>2</v>
      </c>
      <c r="F128" s="15">
        <v>2</v>
      </c>
      <c r="G128" s="15">
        <v>1</v>
      </c>
      <c r="H128" s="15">
        <v>5</v>
      </c>
      <c r="I128" s="15"/>
      <c r="J128" s="15"/>
      <c r="K128" s="15"/>
      <c r="L128" s="15"/>
      <c r="M128" s="15"/>
      <c r="N128" s="15"/>
      <c r="O128" s="15"/>
    </row>
    <row r="129" spans="1:15" x14ac:dyDescent="0.2">
      <c r="A129" s="15" t="s">
        <v>131</v>
      </c>
      <c r="B129" s="15" t="s">
        <v>402</v>
      </c>
      <c r="C129" s="15" t="s">
        <v>633</v>
      </c>
      <c r="D129" s="15"/>
      <c r="E129" s="15">
        <v>2</v>
      </c>
      <c r="F129" s="15">
        <v>2</v>
      </c>
      <c r="G129" s="15">
        <v>1</v>
      </c>
      <c r="H129" s="15">
        <v>5</v>
      </c>
      <c r="I129" s="15"/>
      <c r="J129" s="15"/>
      <c r="K129" s="15"/>
      <c r="L129" s="15"/>
      <c r="M129" s="15"/>
      <c r="N129" s="15"/>
      <c r="O129" s="1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B374-9008-DF44-98C5-37C41FD3B726}">
  <dimension ref="A1:G91"/>
  <sheetViews>
    <sheetView workbookViewId="0">
      <selection activeCell="L13" sqref="L13"/>
    </sheetView>
  </sheetViews>
  <sheetFormatPr baseColWidth="10" defaultRowHeight="16" x14ac:dyDescent="0.2"/>
  <cols>
    <col min="4" max="4" width="59.33203125" bestFit="1" customWidth="1"/>
  </cols>
  <sheetData>
    <row r="1" spans="1:7" ht="84" x14ac:dyDescent="0.2">
      <c r="A1" s="14" t="s">
        <v>618</v>
      </c>
      <c r="B1" s="71" t="s">
        <v>1</v>
      </c>
      <c r="C1" s="71" t="s">
        <v>2</v>
      </c>
      <c r="D1" s="17" t="s">
        <v>616</v>
      </c>
      <c r="E1" s="17" t="s">
        <v>5</v>
      </c>
      <c r="F1" s="17" t="s">
        <v>6</v>
      </c>
      <c r="G1" s="71" t="s">
        <v>617</v>
      </c>
    </row>
    <row r="2" spans="1:7" x14ac:dyDescent="0.2">
      <c r="A2" s="15">
        <v>1</v>
      </c>
      <c r="B2" s="28">
        <v>51.822099999999999</v>
      </c>
      <c r="C2" s="28">
        <v>-1.2992330000000001</v>
      </c>
      <c r="D2" s="15" t="s">
        <v>73</v>
      </c>
      <c r="E2" s="15">
        <v>6</v>
      </c>
      <c r="F2" s="15">
        <v>3</v>
      </c>
      <c r="G2" s="28">
        <v>18</v>
      </c>
    </row>
    <row r="3" spans="1:7" x14ac:dyDescent="0.2">
      <c r="A3" s="15">
        <v>2</v>
      </c>
      <c r="B3" s="28">
        <v>51.822516999999998</v>
      </c>
      <c r="C3" s="28">
        <v>-1.3022499999999999</v>
      </c>
      <c r="D3" s="15" t="s">
        <v>79</v>
      </c>
      <c r="E3" s="15">
        <v>8</v>
      </c>
      <c r="F3" s="15">
        <v>3</v>
      </c>
      <c r="G3" s="28">
        <v>24</v>
      </c>
    </row>
    <row r="4" spans="1:7" x14ac:dyDescent="0.2">
      <c r="A4" s="15">
        <v>3</v>
      </c>
      <c r="B4" s="28">
        <v>51.823616999999999</v>
      </c>
      <c r="C4" s="28">
        <v>-1.3056000000000001</v>
      </c>
      <c r="D4" s="15" t="s">
        <v>73</v>
      </c>
      <c r="E4" s="15">
        <v>6</v>
      </c>
      <c r="F4" s="15">
        <v>3</v>
      </c>
      <c r="G4" s="28">
        <v>18</v>
      </c>
    </row>
    <row r="5" spans="1:7" x14ac:dyDescent="0.2">
      <c r="A5" s="15">
        <v>4</v>
      </c>
      <c r="B5" s="28">
        <v>51.822032999999998</v>
      </c>
      <c r="C5" s="28">
        <v>-1.30945</v>
      </c>
      <c r="D5" s="15" t="s">
        <v>73</v>
      </c>
      <c r="E5" s="15">
        <v>6</v>
      </c>
      <c r="F5" s="15">
        <v>3</v>
      </c>
      <c r="G5" s="28">
        <v>18</v>
      </c>
    </row>
    <row r="6" spans="1:7" x14ac:dyDescent="0.2">
      <c r="A6" s="15">
        <v>5</v>
      </c>
      <c r="B6" s="28">
        <v>51.820900000000002</v>
      </c>
      <c r="C6" s="28">
        <v>-1.3093669999999999</v>
      </c>
      <c r="D6" s="15" t="s">
        <v>91</v>
      </c>
      <c r="E6" s="15">
        <v>2</v>
      </c>
      <c r="F6" s="15">
        <v>2</v>
      </c>
      <c r="G6" s="28">
        <v>4</v>
      </c>
    </row>
    <row r="7" spans="1:7" x14ac:dyDescent="0.2">
      <c r="A7" s="15">
        <v>6</v>
      </c>
      <c r="B7" s="28">
        <v>51.818367000000002</v>
      </c>
      <c r="C7" s="28">
        <v>-1.3125830000000001</v>
      </c>
      <c r="D7" s="15" t="s">
        <v>73</v>
      </c>
      <c r="E7" s="15">
        <v>6</v>
      </c>
      <c r="F7" s="15">
        <v>2</v>
      </c>
      <c r="G7" s="28">
        <v>12</v>
      </c>
    </row>
    <row r="8" spans="1:7" x14ac:dyDescent="0.2">
      <c r="A8" s="15">
        <v>7</v>
      </c>
      <c r="B8" s="28">
        <v>51.817667</v>
      </c>
      <c r="C8" s="28">
        <v>-1.314683</v>
      </c>
      <c r="D8" s="15" t="s">
        <v>96</v>
      </c>
      <c r="E8" s="15">
        <v>4</v>
      </c>
      <c r="F8" s="15">
        <v>3</v>
      </c>
      <c r="G8" s="28">
        <v>12</v>
      </c>
    </row>
    <row r="9" spans="1:7" x14ac:dyDescent="0.2">
      <c r="A9" s="15">
        <v>8</v>
      </c>
      <c r="B9" s="28">
        <v>51.817332999999998</v>
      </c>
      <c r="C9" s="28">
        <v>-1.3145</v>
      </c>
      <c r="D9" s="15" t="s">
        <v>73</v>
      </c>
      <c r="E9" s="15">
        <v>6</v>
      </c>
      <c r="F9" s="15">
        <v>3</v>
      </c>
      <c r="G9" s="28">
        <v>18</v>
      </c>
    </row>
    <row r="10" spans="1:7" x14ac:dyDescent="0.2">
      <c r="A10" s="15">
        <v>9</v>
      </c>
      <c r="B10" s="28">
        <v>51.816682999999998</v>
      </c>
      <c r="C10" s="28">
        <v>-1.31325</v>
      </c>
      <c r="D10" s="15" t="s">
        <v>73</v>
      </c>
      <c r="E10" s="15">
        <v>6</v>
      </c>
      <c r="F10" s="15">
        <v>2</v>
      </c>
      <c r="G10" s="28">
        <v>12</v>
      </c>
    </row>
    <row r="11" spans="1:7" x14ac:dyDescent="0.2">
      <c r="A11" s="15">
        <v>10</v>
      </c>
      <c r="B11" s="28">
        <v>51.815100000000001</v>
      </c>
      <c r="C11" s="28">
        <v>-1.313367</v>
      </c>
      <c r="D11" s="15" t="s">
        <v>102</v>
      </c>
      <c r="E11" s="15">
        <v>1</v>
      </c>
      <c r="F11" s="15">
        <v>3</v>
      </c>
      <c r="G11" s="28">
        <v>3</v>
      </c>
    </row>
    <row r="12" spans="1:7" x14ac:dyDescent="0.2">
      <c r="A12" s="15">
        <v>11</v>
      </c>
      <c r="B12" s="28">
        <v>51.817749999999997</v>
      </c>
      <c r="C12" s="28">
        <v>-1.310883</v>
      </c>
      <c r="D12" s="15" t="s">
        <v>96</v>
      </c>
      <c r="E12" s="15">
        <v>4</v>
      </c>
      <c r="F12" s="15">
        <v>3</v>
      </c>
      <c r="G12" s="28">
        <v>12</v>
      </c>
    </row>
    <row r="13" spans="1:7" x14ac:dyDescent="0.2">
      <c r="A13" s="15">
        <v>12</v>
      </c>
      <c r="B13" s="28">
        <v>51.816133000000001</v>
      </c>
      <c r="C13" s="28">
        <v>-1.3091330000000001</v>
      </c>
      <c r="D13" s="15" t="s">
        <v>96</v>
      </c>
      <c r="E13" s="15">
        <v>4</v>
      </c>
      <c r="F13" s="15">
        <v>3</v>
      </c>
      <c r="G13" s="28">
        <v>12</v>
      </c>
    </row>
    <row r="14" spans="1:7" x14ac:dyDescent="0.2">
      <c r="A14" s="15">
        <v>13</v>
      </c>
      <c r="B14" s="28">
        <v>51.815100000000001</v>
      </c>
      <c r="C14" s="28">
        <v>-1.307833</v>
      </c>
      <c r="D14" s="15" t="s">
        <v>96</v>
      </c>
      <c r="E14" s="15">
        <v>4</v>
      </c>
      <c r="F14" s="15">
        <v>3</v>
      </c>
      <c r="G14" s="28">
        <v>12</v>
      </c>
    </row>
    <row r="15" spans="1:7" x14ac:dyDescent="0.2">
      <c r="A15" s="15">
        <v>14</v>
      </c>
      <c r="B15" s="28">
        <v>51.816766999999999</v>
      </c>
      <c r="C15" s="28">
        <v>-1.3060499999999999</v>
      </c>
      <c r="D15" s="15" t="s">
        <v>110</v>
      </c>
      <c r="E15" s="15">
        <v>2</v>
      </c>
      <c r="F15" s="15">
        <v>2</v>
      </c>
      <c r="G15" s="28">
        <v>4</v>
      </c>
    </row>
    <row r="16" spans="1:7" x14ac:dyDescent="0.2">
      <c r="A16" s="15">
        <v>15</v>
      </c>
      <c r="B16" s="28">
        <v>51.816682999999998</v>
      </c>
      <c r="C16" s="28">
        <v>-1.305917</v>
      </c>
      <c r="D16" s="15" t="s">
        <v>110</v>
      </c>
      <c r="E16" s="15">
        <v>2</v>
      </c>
      <c r="F16" s="15">
        <v>2</v>
      </c>
      <c r="G16" s="28">
        <v>4</v>
      </c>
    </row>
    <row r="17" spans="1:7" x14ac:dyDescent="0.2">
      <c r="A17" s="15">
        <v>16</v>
      </c>
      <c r="B17" s="28">
        <v>51.815632999999998</v>
      </c>
      <c r="C17" s="28">
        <v>-1.2991999999999999</v>
      </c>
      <c r="D17" s="15" t="s">
        <v>96</v>
      </c>
      <c r="E17" s="15">
        <v>4</v>
      </c>
      <c r="F17" s="15">
        <v>3</v>
      </c>
      <c r="G17" s="28">
        <v>12</v>
      </c>
    </row>
    <row r="18" spans="1:7" x14ac:dyDescent="0.2">
      <c r="A18" s="15">
        <v>17</v>
      </c>
      <c r="B18" s="28">
        <v>51.815617000000003</v>
      </c>
      <c r="C18" s="28">
        <v>-1.3024169999999999</v>
      </c>
      <c r="D18" s="15" t="s">
        <v>73</v>
      </c>
      <c r="E18" s="15">
        <v>6</v>
      </c>
      <c r="F18" s="15">
        <v>3</v>
      </c>
      <c r="G18" s="28">
        <v>18</v>
      </c>
    </row>
    <row r="19" spans="1:7" x14ac:dyDescent="0.2">
      <c r="A19" s="15">
        <v>18</v>
      </c>
      <c r="B19" s="28">
        <v>51.813732999999999</v>
      </c>
      <c r="C19" s="28">
        <v>-1.3007169999999999</v>
      </c>
      <c r="D19" s="15" t="s">
        <v>96</v>
      </c>
      <c r="E19" s="15">
        <v>4</v>
      </c>
      <c r="F19" s="15">
        <v>2</v>
      </c>
      <c r="G19" s="28">
        <v>8</v>
      </c>
    </row>
    <row r="20" spans="1:7" x14ac:dyDescent="0.2">
      <c r="A20" s="15">
        <v>19</v>
      </c>
      <c r="B20" s="28">
        <v>51.810867000000002</v>
      </c>
      <c r="C20" s="28">
        <v>-1.3022</v>
      </c>
      <c r="D20" s="15" t="s">
        <v>79</v>
      </c>
      <c r="E20" s="15">
        <v>8</v>
      </c>
      <c r="F20" s="15">
        <v>3</v>
      </c>
      <c r="G20" s="28">
        <v>24</v>
      </c>
    </row>
    <row r="21" spans="1:7" x14ac:dyDescent="0.2">
      <c r="A21" s="15">
        <v>20</v>
      </c>
      <c r="B21" s="28">
        <v>51.818550000000002</v>
      </c>
      <c r="C21" s="28">
        <v>-1.2959670000000001</v>
      </c>
      <c r="D21" s="15" t="s">
        <v>79</v>
      </c>
      <c r="E21" s="15">
        <v>8</v>
      </c>
      <c r="F21" s="15">
        <v>3</v>
      </c>
      <c r="G21" s="28">
        <v>24</v>
      </c>
    </row>
    <row r="22" spans="1:7" x14ac:dyDescent="0.2">
      <c r="A22" s="15">
        <v>21</v>
      </c>
      <c r="B22" s="28">
        <v>51.816716999999997</v>
      </c>
      <c r="C22" s="28">
        <v>-1.293917</v>
      </c>
      <c r="D22" s="15" t="s">
        <v>79</v>
      </c>
      <c r="E22" s="15">
        <v>8</v>
      </c>
      <c r="F22" s="15">
        <v>2</v>
      </c>
      <c r="G22" s="28">
        <v>16</v>
      </c>
    </row>
    <row r="23" spans="1:7" x14ac:dyDescent="0.2">
      <c r="A23" s="15">
        <v>22</v>
      </c>
      <c r="B23" s="28">
        <v>51.815533000000002</v>
      </c>
      <c r="C23" s="28">
        <v>-1.2947500000000001</v>
      </c>
      <c r="D23" s="15" t="s">
        <v>73</v>
      </c>
      <c r="E23" s="15">
        <v>6</v>
      </c>
      <c r="F23" s="15">
        <v>3</v>
      </c>
      <c r="G23" s="28">
        <v>18</v>
      </c>
    </row>
    <row r="24" spans="1:7" x14ac:dyDescent="0.2">
      <c r="A24" s="15">
        <v>23</v>
      </c>
      <c r="B24" s="28">
        <v>51.815832999999998</v>
      </c>
      <c r="C24" s="28">
        <v>-1.29295</v>
      </c>
      <c r="D24" s="15" t="s">
        <v>73</v>
      </c>
      <c r="E24" s="15">
        <v>6</v>
      </c>
      <c r="F24" s="15">
        <v>3</v>
      </c>
      <c r="G24" s="28">
        <v>18</v>
      </c>
    </row>
    <row r="25" spans="1:7" x14ac:dyDescent="0.2">
      <c r="A25" s="15">
        <v>24</v>
      </c>
      <c r="B25" s="28">
        <v>51.815133000000003</v>
      </c>
      <c r="C25" s="28">
        <v>-1.2927</v>
      </c>
      <c r="D25" s="15" t="s">
        <v>79</v>
      </c>
      <c r="E25" s="15">
        <v>8</v>
      </c>
      <c r="F25" s="15">
        <v>3</v>
      </c>
      <c r="G25" s="28">
        <v>24</v>
      </c>
    </row>
    <row r="26" spans="1:7" x14ac:dyDescent="0.2">
      <c r="A26" s="15">
        <v>25</v>
      </c>
      <c r="B26" s="28">
        <v>51.815100000000001</v>
      </c>
      <c r="C26" s="28">
        <v>-1.2924329999999999</v>
      </c>
      <c r="D26" s="15" t="s">
        <v>79</v>
      </c>
      <c r="E26" s="15">
        <v>8</v>
      </c>
      <c r="F26" s="15">
        <v>3</v>
      </c>
      <c r="G26" s="28">
        <v>24</v>
      </c>
    </row>
    <row r="27" spans="1:7" x14ac:dyDescent="0.2">
      <c r="A27" s="15">
        <v>26</v>
      </c>
      <c r="B27" s="28">
        <v>51.812600000000003</v>
      </c>
      <c r="C27" s="28">
        <v>-1.293833</v>
      </c>
      <c r="D27" s="15" t="s">
        <v>79</v>
      </c>
      <c r="E27" s="15">
        <v>8</v>
      </c>
      <c r="F27" s="15">
        <v>3</v>
      </c>
      <c r="G27" s="28">
        <v>24</v>
      </c>
    </row>
    <row r="28" spans="1:7" x14ac:dyDescent="0.2">
      <c r="A28" s="15">
        <v>27</v>
      </c>
      <c r="B28" s="28">
        <v>51.809583000000003</v>
      </c>
      <c r="C28" s="28">
        <v>-1.2956669999999999</v>
      </c>
      <c r="D28" s="15" t="s">
        <v>79</v>
      </c>
      <c r="E28" s="15">
        <v>8</v>
      </c>
      <c r="F28" s="15">
        <v>3</v>
      </c>
      <c r="G28" s="28">
        <v>24</v>
      </c>
    </row>
    <row r="29" spans="1:7" x14ac:dyDescent="0.2">
      <c r="A29" s="15">
        <v>28</v>
      </c>
      <c r="B29" s="28">
        <v>51.807749999999999</v>
      </c>
      <c r="C29" s="28">
        <v>-1.29295</v>
      </c>
      <c r="D29" s="15" t="s">
        <v>79</v>
      </c>
      <c r="E29" s="15">
        <v>8</v>
      </c>
      <c r="F29" s="15">
        <v>2</v>
      </c>
      <c r="G29" s="28">
        <v>16</v>
      </c>
    </row>
    <row r="30" spans="1:7" x14ac:dyDescent="0.2">
      <c r="A30" s="15">
        <v>29</v>
      </c>
      <c r="B30" s="28">
        <v>51.808599999999998</v>
      </c>
      <c r="C30" s="28">
        <v>-1.288683</v>
      </c>
      <c r="D30" s="15" t="s">
        <v>73</v>
      </c>
      <c r="E30" s="15">
        <v>6</v>
      </c>
      <c r="F30" s="15">
        <v>3</v>
      </c>
      <c r="G30" s="28">
        <v>18</v>
      </c>
    </row>
    <row r="31" spans="1:7" x14ac:dyDescent="0.2">
      <c r="A31" s="15">
        <v>30</v>
      </c>
      <c r="B31" s="28">
        <v>51.811216999999999</v>
      </c>
      <c r="C31" s="28">
        <v>-1.2882830000000001</v>
      </c>
      <c r="D31" s="15" t="s">
        <v>73</v>
      </c>
      <c r="E31" s="15">
        <v>6</v>
      </c>
      <c r="F31" s="15">
        <v>3</v>
      </c>
      <c r="G31" s="28">
        <v>18</v>
      </c>
    </row>
    <row r="32" spans="1:7" x14ac:dyDescent="0.2">
      <c r="A32" s="15"/>
      <c r="D32" s="15"/>
      <c r="E32" s="15"/>
      <c r="F32" s="15"/>
    </row>
    <row r="33" spans="1:6" x14ac:dyDescent="0.2">
      <c r="A33" s="15"/>
      <c r="D33" s="15"/>
      <c r="E33" s="15"/>
      <c r="F33" s="15"/>
    </row>
    <row r="34" spans="1:6" x14ac:dyDescent="0.2">
      <c r="A34" s="15"/>
      <c r="D34" s="15"/>
      <c r="E34" s="15"/>
      <c r="F34" s="15"/>
    </row>
    <row r="35" spans="1:6" x14ac:dyDescent="0.2">
      <c r="A35" s="15"/>
      <c r="D35" s="15"/>
      <c r="E35" s="15"/>
      <c r="F35" s="15"/>
    </row>
    <row r="36" spans="1:6" x14ac:dyDescent="0.2">
      <c r="A36" s="15"/>
      <c r="D36" s="15"/>
      <c r="E36" s="15"/>
      <c r="F36" s="15"/>
    </row>
    <row r="37" spans="1:6" x14ac:dyDescent="0.2">
      <c r="A37" s="15"/>
      <c r="D37" s="15"/>
      <c r="E37" s="15"/>
      <c r="F37" s="15"/>
    </row>
    <row r="38" spans="1:6" x14ac:dyDescent="0.2">
      <c r="A38" s="15"/>
      <c r="D38" s="15"/>
      <c r="E38" s="15"/>
      <c r="F38" s="15"/>
    </row>
    <row r="39" spans="1:6" x14ac:dyDescent="0.2">
      <c r="A39" s="15"/>
      <c r="D39" s="15"/>
      <c r="E39" s="15"/>
      <c r="F39" s="15"/>
    </row>
    <row r="40" spans="1:6" x14ac:dyDescent="0.2">
      <c r="A40" s="15"/>
      <c r="D40" s="15"/>
      <c r="E40" s="15"/>
      <c r="F40" s="15"/>
    </row>
    <row r="41" spans="1:6" x14ac:dyDescent="0.2">
      <c r="A41" s="15"/>
      <c r="D41" s="15"/>
      <c r="E41" s="15"/>
      <c r="F41" s="15"/>
    </row>
    <row r="42" spans="1:6" x14ac:dyDescent="0.2">
      <c r="A42" s="15"/>
      <c r="D42" s="15"/>
      <c r="E42" s="15"/>
      <c r="F42" s="15"/>
    </row>
    <row r="43" spans="1:6" x14ac:dyDescent="0.2">
      <c r="A43" s="15"/>
      <c r="D43" s="15"/>
      <c r="E43" s="15"/>
      <c r="F43" s="15"/>
    </row>
    <row r="44" spans="1:6" x14ac:dyDescent="0.2">
      <c r="A44" s="15"/>
      <c r="D44" s="15"/>
      <c r="E44" s="15"/>
      <c r="F44" s="15"/>
    </row>
    <row r="45" spans="1:6" x14ac:dyDescent="0.2">
      <c r="A45" s="15"/>
      <c r="D45" s="15"/>
      <c r="E45" s="15"/>
      <c r="F45" s="15"/>
    </row>
    <row r="46" spans="1:6" x14ac:dyDescent="0.2">
      <c r="A46" s="15"/>
      <c r="D46" s="15"/>
      <c r="E46" s="15"/>
      <c r="F46" s="15"/>
    </row>
    <row r="47" spans="1:6" x14ac:dyDescent="0.2">
      <c r="A47" s="15"/>
      <c r="D47" s="15"/>
      <c r="E47" s="15"/>
      <c r="F47" s="15"/>
    </row>
    <row r="48" spans="1:6" x14ac:dyDescent="0.2">
      <c r="A48" s="15"/>
      <c r="D48" s="15"/>
      <c r="E48" s="15"/>
      <c r="F48" s="15"/>
    </row>
    <row r="49" spans="1:6" x14ac:dyDescent="0.2">
      <c r="A49" s="15"/>
      <c r="D49" s="15"/>
      <c r="E49" s="15"/>
      <c r="F49" s="15"/>
    </row>
    <row r="50" spans="1:6" x14ac:dyDescent="0.2">
      <c r="A50" s="15"/>
      <c r="D50" s="15"/>
      <c r="E50" s="15"/>
      <c r="F50" s="15"/>
    </row>
    <row r="51" spans="1:6" x14ac:dyDescent="0.2">
      <c r="A51" s="15"/>
      <c r="D51" s="15"/>
      <c r="E51" s="15"/>
      <c r="F51" s="15"/>
    </row>
    <row r="52" spans="1:6" x14ac:dyDescent="0.2">
      <c r="A52" s="15"/>
      <c r="D52" s="15"/>
      <c r="E52" s="15"/>
      <c r="F52" s="15"/>
    </row>
    <row r="53" spans="1:6" x14ac:dyDescent="0.2">
      <c r="A53" s="15"/>
      <c r="D53" s="15"/>
      <c r="E53" s="15"/>
      <c r="F53" s="15"/>
    </row>
    <row r="54" spans="1:6" x14ac:dyDescent="0.2">
      <c r="A54" s="15"/>
      <c r="D54" s="15"/>
      <c r="E54" s="15"/>
      <c r="F54" s="15"/>
    </row>
    <row r="55" spans="1:6" x14ac:dyDescent="0.2">
      <c r="A55" s="15"/>
      <c r="D55" s="15"/>
      <c r="E55" s="15"/>
      <c r="F55" s="15"/>
    </row>
    <row r="56" spans="1:6" x14ac:dyDescent="0.2">
      <c r="A56" s="15"/>
      <c r="D56" s="15"/>
      <c r="E56" s="15"/>
      <c r="F56" s="15"/>
    </row>
    <row r="57" spans="1:6" x14ac:dyDescent="0.2">
      <c r="A57" s="15"/>
      <c r="D57" s="15"/>
      <c r="E57" s="15"/>
      <c r="F57" s="15"/>
    </row>
    <row r="58" spans="1:6" x14ac:dyDescent="0.2">
      <c r="A58" s="15"/>
      <c r="D58" s="15"/>
      <c r="E58" s="15"/>
      <c r="F58" s="15"/>
    </row>
    <row r="59" spans="1:6" x14ac:dyDescent="0.2">
      <c r="A59" s="15"/>
      <c r="D59" s="15"/>
      <c r="E59" s="15"/>
      <c r="F59" s="15"/>
    </row>
    <row r="60" spans="1:6" x14ac:dyDescent="0.2">
      <c r="A60" s="15"/>
      <c r="D60" s="15"/>
      <c r="E60" s="15"/>
      <c r="F60" s="15"/>
    </row>
    <row r="61" spans="1:6" x14ac:dyDescent="0.2">
      <c r="A61" s="15"/>
      <c r="D61" s="15"/>
      <c r="E61" s="15"/>
      <c r="F61" s="15"/>
    </row>
    <row r="62" spans="1:6" x14ac:dyDescent="0.2">
      <c r="A62" s="15"/>
      <c r="D62" s="15"/>
      <c r="E62" s="15"/>
      <c r="F62" s="15"/>
    </row>
    <row r="63" spans="1:6" x14ac:dyDescent="0.2">
      <c r="A63" s="15"/>
      <c r="D63" s="15"/>
      <c r="E63" s="15"/>
      <c r="F63" s="15"/>
    </row>
    <row r="64" spans="1:6" x14ac:dyDescent="0.2">
      <c r="A64" s="15"/>
      <c r="D64" s="15"/>
      <c r="E64" s="15"/>
      <c r="F64" s="15"/>
    </row>
    <row r="65" spans="1:6" x14ac:dyDescent="0.2">
      <c r="A65" s="15"/>
      <c r="D65" s="15"/>
      <c r="E65" s="15"/>
      <c r="F65" s="15"/>
    </row>
    <row r="66" spans="1:6" x14ac:dyDescent="0.2">
      <c r="A66" s="15"/>
      <c r="D66" s="15"/>
      <c r="E66" s="15"/>
      <c r="F66" s="15"/>
    </row>
    <row r="67" spans="1:6" x14ac:dyDescent="0.2">
      <c r="A67" s="15"/>
      <c r="D67" s="15"/>
      <c r="E67" s="15"/>
      <c r="F67" s="15"/>
    </row>
    <row r="68" spans="1:6" x14ac:dyDescent="0.2">
      <c r="A68" s="15"/>
      <c r="D68" s="15"/>
      <c r="E68" s="15"/>
      <c r="F68" s="15"/>
    </row>
    <row r="69" spans="1:6" x14ac:dyDescent="0.2">
      <c r="A69" s="15"/>
      <c r="D69" s="15"/>
      <c r="E69" s="15"/>
      <c r="F69" s="15"/>
    </row>
    <row r="70" spans="1:6" x14ac:dyDescent="0.2">
      <c r="A70" s="22"/>
      <c r="D70" s="15"/>
      <c r="E70" s="15"/>
      <c r="F70" s="15"/>
    </row>
    <row r="71" spans="1:6" x14ac:dyDescent="0.2">
      <c r="A71" s="15"/>
      <c r="D71" s="15"/>
      <c r="E71" s="15"/>
      <c r="F71" s="15"/>
    </row>
    <row r="72" spans="1:6" x14ac:dyDescent="0.2">
      <c r="A72" s="15"/>
      <c r="D72" s="15"/>
      <c r="E72" s="15"/>
      <c r="F72" s="15"/>
    </row>
    <row r="73" spans="1:6" x14ac:dyDescent="0.2">
      <c r="A73" s="15"/>
      <c r="D73" s="15"/>
      <c r="E73" s="15"/>
      <c r="F73" s="15"/>
    </row>
    <row r="74" spans="1:6" x14ac:dyDescent="0.2">
      <c r="A74" s="15"/>
      <c r="D74" s="15"/>
      <c r="E74" s="15"/>
      <c r="F74" s="15"/>
    </row>
    <row r="75" spans="1:6" x14ac:dyDescent="0.2">
      <c r="A75" s="15"/>
      <c r="D75" s="15"/>
      <c r="E75" s="15"/>
      <c r="F75" s="15"/>
    </row>
    <row r="76" spans="1:6" x14ac:dyDescent="0.2">
      <c r="A76" s="15"/>
      <c r="D76" s="15"/>
      <c r="E76" s="15"/>
      <c r="F76" s="15"/>
    </row>
    <row r="77" spans="1:6" x14ac:dyDescent="0.2">
      <c r="A77" s="15"/>
      <c r="D77" s="15"/>
      <c r="E77" s="15"/>
      <c r="F77" s="15"/>
    </row>
    <row r="78" spans="1:6" x14ac:dyDescent="0.2">
      <c r="A78" s="15"/>
      <c r="D78" s="15"/>
      <c r="E78" s="15"/>
      <c r="F78" s="15"/>
    </row>
    <row r="79" spans="1:6" x14ac:dyDescent="0.2">
      <c r="A79" s="15"/>
      <c r="D79" s="15"/>
      <c r="E79" s="15"/>
      <c r="F79" s="15"/>
    </row>
    <row r="80" spans="1:6" x14ac:dyDescent="0.2">
      <c r="A80" s="15"/>
      <c r="D80" s="15"/>
      <c r="E80" s="15"/>
      <c r="F80" s="15"/>
    </row>
    <row r="81" spans="1:6" x14ac:dyDescent="0.2">
      <c r="A81" s="22"/>
      <c r="D81" s="15"/>
      <c r="E81" s="15"/>
      <c r="F81" s="15"/>
    </row>
    <row r="82" spans="1:6" x14ac:dyDescent="0.2">
      <c r="A82" s="15"/>
      <c r="D82" s="15"/>
      <c r="E82" s="15"/>
      <c r="F82" s="15"/>
    </row>
    <row r="83" spans="1:6" x14ac:dyDescent="0.2">
      <c r="A83" s="15"/>
      <c r="D83" s="15"/>
      <c r="E83" s="15"/>
      <c r="F83" s="15"/>
    </row>
    <row r="84" spans="1:6" x14ac:dyDescent="0.2">
      <c r="A84" s="15"/>
      <c r="D84" s="15"/>
      <c r="E84" s="15"/>
      <c r="F84" s="15"/>
    </row>
    <row r="85" spans="1:6" x14ac:dyDescent="0.2">
      <c r="A85" s="15"/>
      <c r="D85" s="15"/>
      <c r="E85" s="15"/>
      <c r="F85" s="15"/>
    </row>
    <row r="86" spans="1:6" x14ac:dyDescent="0.2">
      <c r="A86" s="15"/>
      <c r="D86" s="15"/>
      <c r="E86" s="15"/>
      <c r="F86" s="15"/>
    </row>
    <row r="87" spans="1:6" x14ac:dyDescent="0.2">
      <c r="A87" s="15"/>
      <c r="D87" s="15"/>
      <c r="E87" s="15"/>
      <c r="F87" s="15"/>
    </row>
    <row r="88" spans="1:6" x14ac:dyDescent="0.2">
      <c r="A88" s="15"/>
      <c r="D88" s="15"/>
      <c r="E88" s="15"/>
      <c r="F88" s="15"/>
    </row>
    <row r="89" spans="1:6" x14ac:dyDescent="0.2">
      <c r="A89" s="15"/>
      <c r="D89" s="15"/>
      <c r="E89" s="15"/>
      <c r="F89" s="15"/>
    </row>
    <row r="90" spans="1:6" x14ac:dyDescent="0.2">
      <c r="A90" s="15"/>
      <c r="D90" s="15"/>
      <c r="E90" s="15"/>
      <c r="F90" s="15"/>
    </row>
    <row r="91" spans="1:6" x14ac:dyDescent="0.2">
      <c r="A91" s="15"/>
      <c r="D91" s="15"/>
      <c r="E91" s="15"/>
      <c r="F91" s="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DBDB-111C-F64B-BF4A-C228D4505FFC}">
  <dimension ref="A1:H31"/>
  <sheetViews>
    <sheetView workbookViewId="0">
      <selection activeCell="K10" sqref="K10"/>
    </sheetView>
  </sheetViews>
  <sheetFormatPr baseColWidth="10" defaultRowHeight="16" x14ac:dyDescent="0.2"/>
  <sheetData>
    <row r="1" spans="1:8" x14ac:dyDescent="0.2">
      <c r="A1" s="28" t="s">
        <v>0</v>
      </c>
      <c r="B1" s="28" t="s">
        <v>344</v>
      </c>
      <c r="C1" s="28" t="s">
        <v>1</v>
      </c>
      <c r="D1" s="28" t="s">
        <v>2</v>
      </c>
      <c r="E1" s="28" t="s">
        <v>4</v>
      </c>
      <c r="F1" s="28" t="s">
        <v>345</v>
      </c>
      <c r="G1" s="28" t="s">
        <v>6</v>
      </c>
      <c r="H1" s="28" t="s">
        <v>346</v>
      </c>
    </row>
    <row r="2" spans="1:8" x14ac:dyDescent="0.2">
      <c r="A2" s="28" t="s">
        <v>72</v>
      </c>
      <c r="B2" s="28" t="s">
        <v>347</v>
      </c>
      <c r="C2" s="28">
        <v>51.822099999999999</v>
      </c>
      <c r="D2" s="28">
        <v>-1.2992330000000001</v>
      </c>
      <c r="E2" s="28" t="s">
        <v>73</v>
      </c>
      <c r="F2" s="28">
        <v>6</v>
      </c>
      <c r="G2" s="28">
        <v>3</v>
      </c>
      <c r="H2" s="28">
        <v>18</v>
      </c>
    </row>
    <row r="3" spans="1:8" x14ac:dyDescent="0.2">
      <c r="A3" s="28" t="s">
        <v>78</v>
      </c>
      <c r="B3" s="28" t="s">
        <v>348</v>
      </c>
      <c r="C3" s="28">
        <v>51.822516999999998</v>
      </c>
      <c r="D3" s="28">
        <v>-1.3022499999999999</v>
      </c>
      <c r="E3" s="28" t="s">
        <v>79</v>
      </c>
      <c r="F3" s="28">
        <v>8</v>
      </c>
      <c r="G3" s="28">
        <v>3</v>
      </c>
      <c r="H3" s="28">
        <v>24</v>
      </c>
    </row>
    <row r="4" spans="1:8" x14ac:dyDescent="0.2">
      <c r="A4" s="28" t="s">
        <v>82</v>
      </c>
      <c r="B4" s="28" t="s">
        <v>349</v>
      </c>
      <c r="C4" s="28">
        <v>51.823616999999999</v>
      </c>
      <c r="D4" s="28">
        <v>-1.3056000000000001</v>
      </c>
      <c r="E4" s="28" t="s">
        <v>73</v>
      </c>
      <c r="F4" s="28">
        <v>6</v>
      </c>
      <c r="G4" s="28">
        <v>3</v>
      </c>
      <c r="H4" s="28">
        <v>18</v>
      </c>
    </row>
    <row r="5" spans="1:8" x14ac:dyDescent="0.2">
      <c r="A5" s="28" t="s">
        <v>87</v>
      </c>
      <c r="B5" s="28" t="s">
        <v>350</v>
      </c>
      <c r="C5" s="28">
        <v>51.822032999999998</v>
      </c>
      <c r="D5" s="28">
        <v>-1.30945</v>
      </c>
      <c r="E5" s="28" t="s">
        <v>73</v>
      </c>
      <c r="F5" s="28">
        <v>6</v>
      </c>
      <c r="G5" s="28">
        <v>3</v>
      </c>
      <c r="H5" s="28">
        <v>18</v>
      </c>
    </row>
    <row r="6" spans="1:8" x14ac:dyDescent="0.2">
      <c r="A6" s="28" t="s">
        <v>90</v>
      </c>
      <c r="B6" s="28" t="s">
        <v>351</v>
      </c>
      <c r="C6" s="28">
        <v>51.820900000000002</v>
      </c>
      <c r="D6" s="28">
        <v>-1.3093669999999999</v>
      </c>
      <c r="E6" s="28" t="s">
        <v>352</v>
      </c>
      <c r="F6" s="28">
        <v>2</v>
      </c>
      <c r="G6" s="28">
        <v>2</v>
      </c>
      <c r="H6" s="28">
        <v>4</v>
      </c>
    </row>
    <row r="7" spans="1:8" x14ac:dyDescent="0.2">
      <c r="A7" s="28" t="s">
        <v>93</v>
      </c>
      <c r="B7" s="28" t="s">
        <v>353</v>
      </c>
      <c r="C7" s="28">
        <v>51.818367000000002</v>
      </c>
      <c r="D7" s="28">
        <v>-1.3125830000000001</v>
      </c>
      <c r="E7" s="28" t="s">
        <v>73</v>
      </c>
      <c r="F7" s="28">
        <v>6</v>
      </c>
      <c r="G7" s="28">
        <v>2</v>
      </c>
      <c r="H7" s="28">
        <v>12</v>
      </c>
    </row>
    <row r="8" spans="1:8" x14ac:dyDescent="0.2">
      <c r="A8" s="28" t="s">
        <v>95</v>
      </c>
      <c r="B8" s="28" t="s">
        <v>354</v>
      </c>
      <c r="C8" s="28">
        <v>51.817667</v>
      </c>
      <c r="D8" s="28">
        <v>-1.314683</v>
      </c>
      <c r="E8" s="28" t="s">
        <v>96</v>
      </c>
      <c r="F8" s="28">
        <v>4</v>
      </c>
      <c r="G8" s="28">
        <v>3</v>
      </c>
      <c r="H8" s="28">
        <v>12</v>
      </c>
    </row>
    <row r="9" spans="1:8" x14ac:dyDescent="0.2">
      <c r="A9" s="28" t="s">
        <v>98</v>
      </c>
      <c r="B9" s="28" t="s">
        <v>355</v>
      </c>
      <c r="C9" s="28">
        <v>51.817332999999998</v>
      </c>
      <c r="D9" s="28">
        <v>-1.3145</v>
      </c>
      <c r="E9" s="28" t="s">
        <v>73</v>
      </c>
      <c r="F9" s="28">
        <v>6</v>
      </c>
      <c r="G9" s="28">
        <v>3</v>
      </c>
      <c r="H9" s="28">
        <v>18</v>
      </c>
    </row>
    <row r="10" spans="1:8" x14ac:dyDescent="0.2">
      <c r="A10" s="28" t="s">
        <v>100</v>
      </c>
      <c r="B10" s="28" t="s">
        <v>356</v>
      </c>
      <c r="C10" s="28">
        <v>51.816682999999998</v>
      </c>
      <c r="D10" s="28">
        <v>-1.31325</v>
      </c>
      <c r="E10" s="28" t="s">
        <v>73</v>
      </c>
      <c r="F10" s="28">
        <v>6</v>
      </c>
      <c r="G10" s="28">
        <v>2</v>
      </c>
      <c r="H10" s="28">
        <v>12</v>
      </c>
    </row>
    <row r="11" spans="1:8" x14ac:dyDescent="0.2">
      <c r="A11" s="28" t="s">
        <v>101</v>
      </c>
      <c r="B11" s="28" t="s">
        <v>357</v>
      </c>
      <c r="C11" s="28">
        <v>51.815100000000001</v>
      </c>
      <c r="D11" s="28">
        <v>-1.313367</v>
      </c>
      <c r="E11" s="28" t="s">
        <v>102</v>
      </c>
      <c r="F11" s="28">
        <v>1</v>
      </c>
      <c r="G11" s="28">
        <v>3</v>
      </c>
      <c r="H11" s="28">
        <v>3</v>
      </c>
    </row>
    <row r="12" spans="1:8" x14ac:dyDescent="0.2">
      <c r="A12" s="28" t="s">
        <v>105</v>
      </c>
      <c r="B12" s="28" t="s">
        <v>358</v>
      </c>
      <c r="C12" s="28">
        <v>51.817749999999997</v>
      </c>
      <c r="D12" s="28">
        <v>-1.310883</v>
      </c>
      <c r="E12" s="28" t="s">
        <v>96</v>
      </c>
      <c r="F12" s="28">
        <v>4</v>
      </c>
      <c r="G12" s="28">
        <v>3</v>
      </c>
      <c r="H12" s="28">
        <v>12</v>
      </c>
    </row>
    <row r="13" spans="1:8" x14ac:dyDescent="0.2">
      <c r="A13" s="28" t="s">
        <v>106</v>
      </c>
      <c r="B13" s="28" t="s">
        <v>359</v>
      </c>
      <c r="C13" s="28">
        <v>51.816133000000001</v>
      </c>
      <c r="D13" s="28">
        <v>-1.3091330000000001</v>
      </c>
      <c r="E13" s="28" t="s">
        <v>96</v>
      </c>
      <c r="F13" s="28">
        <v>4</v>
      </c>
      <c r="G13" s="28">
        <v>3</v>
      </c>
      <c r="H13" s="28">
        <v>12</v>
      </c>
    </row>
    <row r="14" spans="1:8" x14ac:dyDescent="0.2">
      <c r="A14" s="28" t="s">
        <v>107</v>
      </c>
      <c r="B14" s="28" t="s">
        <v>360</v>
      </c>
      <c r="C14" s="28">
        <v>51.815100000000001</v>
      </c>
      <c r="D14" s="28">
        <v>-1.307833</v>
      </c>
      <c r="E14" s="28" t="s">
        <v>96</v>
      </c>
      <c r="F14" s="28">
        <v>4</v>
      </c>
      <c r="G14" s="28">
        <v>3</v>
      </c>
      <c r="H14" s="28">
        <v>12</v>
      </c>
    </row>
    <row r="15" spans="1:8" x14ac:dyDescent="0.2">
      <c r="A15" s="28" t="s">
        <v>109</v>
      </c>
      <c r="B15" s="28" t="s">
        <v>361</v>
      </c>
      <c r="C15" s="28">
        <v>51.816766999999999</v>
      </c>
      <c r="D15" s="28">
        <v>-1.3060499999999999</v>
      </c>
      <c r="E15" s="28" t="s">
        <v>110</v>
      </c>
      <c r="F15" s="28">
        <v>2</v>
      </c>
      <c r="G15" s="28">
        <v>2</v>
      </c>
      <c r="H15" s="28">
        <v>4</v>
      </c>
    </row>
    <row r="16" spans="1:8" x14ac:dyDescent="0.2">
      <c r="A16" s="28" t="s">
        <v>111</v>
      </c>
      <c r="B16" s="28" t="s">
        <v>362</v>
      </c>
      <c r="C16" s="28">
        <v>51.816682999999998</v>
      </c>
      <c r="D16" s="28">
        <v>-1.305917</v>
      </c>
      <c r="E16" s="28" t="s">
        <v>110</v>
      </c>
      <c r="F16" s="28">
        <v>2</v>
      </c>
      <c r="G16" s="28">
        <v>2</v>
      </c>
      <c r="H16" s="28">
        <v>4</v>
      </c>
    </row>
    <row r="17" spans="1:8" x14ac:dyDescent="0.2">
      <c r="A17" s="28" t="s">
        <v>112</v>
      </c>
      <c r="B17" s="28" t="s">
        <v>363</v>
      </c>
      <c r="C17" s="28">
        <v>51.815632999999998</v>
      </c>
      <c r="D17" s="28">
        <v>-1.2991999999999999</v>
      </c>
      <c r="E17" s="28" t="s">
        <v>96</v>
      </c>
      <c r="F17" s="28">
        <v>4</v>
      </c>
      <c r="G17" s="28">
        <v>3</v>
      </c>
      <c r="H17" s="28">
        <v>12</v>
      </c>
    </row>
    <row r="18" spans="1:8" x14ac:dyDescent="0.2">
      <c r="A18" s="28" t="s">
        <v>114</v>
      </c>
      <c r="B18" s="28" t="s">
        <v>364</v>
      </c>
      <c r="C18" s="28">
        <v>51.815617000000003</v>
      </c>
      <c r="D18" s="28">
        <v>-1.3024169999999999</v>
      </c>
      <c r="E18" s="28" t="s">
        <v>73</v>
      </c>
      <c r="F18" s="28">
        <v>6</v>
      </c>
      <c r="G18" s="28">
        <v>3</v>
      </c>
      <c r="H18" s="28">
        <v>18</v>
      </c>
    </row>
    <row r="19" spans="1:8" x14ac:dyDescent="0.2">
      <c r="A19" s="28" t="s">
        <v>116</v>
      </c>
      <c r="B19" s="28" t="s">
        <v>365</v>
      </c>
      <c r="C19" s="28">
        <v>51.813732999999999</v>
      </c>
      <c r="D19" s="28">
        <v>-1.3007169999999999</v>
      </c>
      <c r="E19" s="28" t="s">
        <v>96</v>
      </c>
      <c r="F19" s="28">
        <v>4</v>
      </c>
      <c r="G19" s="28">
        <v>2</v>
      </c>
      <c r="H19" s="28">
        <v>8</v>
      </c>
    </row>
    <row r="20" spans="1:8" x14ac:dyDescent="0.2">
      <c r="A20" s="28" t="s">
        <v>117</v>
      </c>
      <c r="B20" s="28" t="s">
        <v>366</v>
      </c>
      <c r="C20" s="28">
        <v>51.810867000000002</v>
      </c>
      <c r="D20" s="28">
        <v>-1.3022</v>
      </c>
      <c r="E20" s="28" t="s">
        <v>79</v>
      </c>
      <c r="F20" s="28">
        <v>8</v>
      </c>
      <c r="G20" s="28">
        <v>3</v>
      </c>
      <c r="H20" s="28">
        <v>24</v>
      </c>
    </row>
    <row r="21" spans="1:8" x14ac:dyDescent="0.2">
      <c r="A21" s="28" t="s">
        <v>119</v>
      </c>
      <c r="B21" s="28" t="s">
        <v>367</v>
      </c>
      <c r="C21" s="28">
        <v>51.818550000000002</v>
      </c>
      <c r="D21" s="28">
        <v>-1.2959670000000001</v>
      </c>
      <c r="E21" s="28" t="s">
        <v>79</v>
      </c>
      <c r="F21" s="28">
        <v>8</v>
      </c>
      <c r="G21" s="28">
        <v>3</v>
      </c>
      <c r="H21" s="28">
        <v>24</v>
      </c>
    </row>
    <row r="22" spans="1:8" x14ac:dyDescent="0.2">
      <c r="A22" s="28" t="s">
        <v>120</v>
      </c>
      <c r="B22" s="28" t="s">
        <v>368</v>
      </c>
      <c r="C22" s="28">
        <v>51.816716999999997</v>
      </c>
      <c r="D22" s="28">
        <v>-1.293917</v>
      </c>
      <c r="E22" s="28" t="s">
        <v>79</v>
      </c>
      <c r="F22" s="28">
        <v>8</v>
      </c>
      <c r="G22" s="28">
        <v>2</v>
      </c>
      <c r="H22" s="28">
        <v>16</v>
      </c>
    </row>
    <row r="23" spans="1:8" x14ac:dyDescent="0.2">
      <c r="A23" s="28" t="s">
        <v>122</v>
      </c>
      <c r="B23" s="28" t="s">
        <v>369</v>
      </c>
      <c r="C23" s="28">
        <v>51.815533000000002</v>
      </c>
      <c r="D23" s="28">
        <v>-1.2947500000000001</v>
      </c>
      <c r="E23" s="28" t="s">
        <v>73</v>
      </c>
      <c r="F23" s="28">
        <v>6</v>
      </c>
      <c r="G23" s="28">
        <v>3</v>
      </c>
      <c r="H23" s="28">
        <v>18</v>
      </c>
    </row>
    <row r="24" spans="1:8" x14ac:dyDescent="0.2">
      <c r="A24" s="28" t="s">
        <v>123</v>
      </c>
      <c r="B24" s="28" t="s">
        <v>370</v>
      </c>
      <c r="C24" s="28">
        <v>51.815832999999998</v>
      </c>
      <c r="D24" s="28">
        <v>-1.29295</v>
      </c>
      <c r="E24" s="28" t="s">
        <v>73</v>
      </c>
      <c r="F24" s="28">
        <v>6</v>
      </c>
      <c r="G24" s="28">
        <v>3</v>
      </c>
      <c r="H24" s="28">
        <v>18</v>
      </c>
    </row>
    <row r="25" spans="1:8" x14ac:dyDescent="0.2">
      <c r="A25" s="28" t="s">
        <v>125</v>
      </c>
      <c r="B25" s="28" t="s">
        <v>371</v>
      </c>
      <c r="C25" s="28">
        <v>51.815133000000003</v>
      </c>
      <c r="D25" s="28">
        <v>-1.2927</v>
      </c>
      <c r="E25" s="28" t="s">
        <v>79</v>
      </c>
      <c r="F25" s="28">
        <v>8</v>
      </c>
      <c r="G25" s="28">
        <v>3</v>
      </c>
      <c r="H25" s="28">
        <v>24</v>
      </c>
    </row>
    <row r="26" spans="1:8" x14ac:dyDescent="0.2">
      <c r="A26" s="28" t="s">
        <v>126</v>
      </c>
      <c r="B26" s="28" t="s">
        <v>372</v>
      </c>
      <c r="C26" s="28">
        <v>51.815100000000001</v>
      </c>
      <c r="D26" s="28">
        <v>-1.2924329999999999</v>
      </c>
      <c r="E26" s="28" t="s">
        <v>79</v>
      </c>
      <c r="F26" s="28">
        <v>8</v>
      </c>
      <c r="G26" s="28">
        <v>3</v>
      </c>
      <c r="H26" s="28">
        <v>24</v>
      </c>
    </row>
    <row r="27" spans="1:8" x14ac:dyDescent="0.2">
      <c r="A27" s="28" t="s">
        <v>127</v>
      </c>
      <c r="B27" s="28" t="s">
        <v>373</v>
      </c>
      <c r="C27" s="28">
        <v>51.812600000000003</v>
      </c>
      <c r="D27" s="28">
        <v>-1.293833</v>
      </c>
      <c r="E27" s="28" t="s">
        <v>79</v>
      </c>
      <c r="F27" s="28">
        <v>8</v>
      </c>
      <c r="G27" s="28">
        <v>3</v>
      </c>
      <c r="H27" s="28">
        <v>24</v>
      </c>
    </row>
    <row r="28" spans="1:8" x14ac:dyDescent="0.2">
      <c r="A28" s="28" t="s">
        <v>128</v>
      </c>
      <c r="B28" s="28" t="s">
        <v>374</v>
      </c>
      <c r="C28" s="28">
        <v>51.809583000000003</v>
      </c>
      <c r="D28" s="28">
        <v>-1.2956669999999999</v>
      </c>
      <c r="E28" s="28" t="s">
        <v>79</v>
      </c>
      <c r="F28" s="28">
        <v>8</v>
      </c>
      <c r="G28" s="28">
        <v>3</v>
      </c>
      <c r="H28" s="28">
        <v>24</v>
      </c>
    </row>
    <row r="29" spans="1:8" x14ac:dyDescent="0.2">
      <c r="A29" s="28" t="s">
        <v>129</v>
      </c>
      <c r="B29" s="28" t="s">
        <v>375</v>
      </c>
      <c r="C29" s="28">
        <v>51.807749999999999</v>
      </c>
      <c r="D29" s="28">
        <v>-1.29295</v>
      </c>
      <c r="E29" s="28" t="s">
        <v>79</v>
      </c>
      <c r="F29" s="28">
        <v>8</v>
      </c>
      <c r="G29" s="28">
        <v>2</v>
      </c>
      <c r="H29" s="28">
        <v>16</v>
      </c>
    </row>
    <row r="30" spans="1:8" x14ac:dyDescent="0.2">
      <c r="A30" s="28" t="s">
        <v>130</v>
      </c>
      <c r="B30" s="28" t="s">
        <v>376</v>
      </c>
      <c r="C30" s="28">
        <v>51.808599999999998</v>
      </c>
      <c r="D30" s="28">
        <v>-1.288683</v>
      </c>
      <c r="E30" s="28" t="s">
        <v>73</v>
      </c>
      <c r="F30" s="28">
        <v>6</v>
      </c>
      <c r="G30" s="28">
        <v>3</v>
      </c>
      <c r="H30" s="28">
        <v>18</v>
      </c>
    </row>
    <row r="31" spans="1:8" x14ac:dyDescent="0.2">
      <c r="A31" s="28" t="s">
        <v>131</v>
      </c>
      <c r="B31" s="28" t="s">
        <v>377</v>
      </c>
      <c r="C31" s="28">
        <v>51.811216999999999</v>
      </c>
      <c r="D31" s="28">
        <v>-1.2882830000000001</v>
      </c>
      <c r="E31" s="28" t="s">
        <v>73</v>
      </c>
      <c r="F31" s="28">
        <v>6</v>
      </c>
      <c r="G31" s="28">
        <v>3</v>
      </c>
      <c r="H31" s="28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9CF4-DF03-1E48-B690-FBDE51F74F23}">
  <dimension ref="A1:O30"/>
  <sheetViews>
    <sheetView zoomScale="125" workbookViewId="0">
      <selection activeCell="H4" sqref="H4"/>
    </sheetView>
  </sheetViews>
  <sheetFormatPr baseColWidth="10" defaultRowHeight="19" customHeight="1" x14ac:dyDescent="0.2"/>
  <cols>
    <col min="1" max="1" width="18.83203125" customWidth="1"/>
    <col min="2" max="2" width="19.83203125" customWidth="1"/>
    <col min="3" max="3" width="18" customWidth="1"/>
    <col min="4" max="4" width="19.33203125" customWidth="1"/>
    <col min="5" max="5" width="10.83203125" style="39"/>
    <col min="13" max="13" width="14.33203125" bestFit="1" customWidth="1"/>
  </cols>
  <sheetData>
    <row r="1" spans="1:15" ht="19" customHeight="1" x14ac:dyDescent="0.2">
      <c r="A1" s="40" t="s">
        <v>594</v>
      </c>
      <c r="B1" s="40" t="s">
        <v>595</v>
      </c>
      <c r="C1" s="40" t="s">
        <v>297</v>
      </c>
      <c r="D1" s="47" t="s">
        <v>596</v>
      </c>
      <c r="E1" s="47" t="s">
        <v>300</v>
      </c>
      <c r="F1" s="48"/>
      <c r="G1" s="50"/>
      <c r="H1" s="48"/>
      <c r="I1" s="33"/>
      <c r="J1" s="33"/>
      <c r="K1" s="33"/>
      <c r="L1" s="31"/>
      <c r="M1" s="31"/>
      <c r="N1" s="31"/>
      <c r="O1" s="31"/>
    </row>
    <row r="2" spans="1:15" ht="19" customHeight="1" x14ac:dyDescent="0.2">
      <c r="A2" s="41" t="s">
        <v>0</v>
      </c>
      <c r="B2" s="41" t="s">
        <v>597</v>
      </c>
      <c r="C2" s="41" t="s">
        <v>606</v>
      </c>
      <c r="D2" s="41">
        <v>0.14399999999999999</v>
      </c>
      <c r="E2" s="42">
        <v>1E-3</v>
      </c>
      <c r="F2" s="48"/>
      <c r="G2" s="48"/>
      <c r="H2" s="48"/>
      <c r="I2" s="33"/>
      <c r="J2" s="33"/>
      <c r="K2" s="33"/>
      <c r="L2" s="31"/>
      <c r="M2" s="31"/>
      <c r="N2" s="31"/>
      <c r="O2" s="31"/>
    </row>
    <row r="3" spans="1:15" ht="19" customHeight="1" x14ac:dyDescent="0.2">
      <c r="A3" s="41"/>
      <c r="B3" s="41"/>
      <c r="C3" s="41" t="s">
        <v>598</v>
      </c>
      <c r="D3" s="41">
        <v>6.8000000000000005E-2</v>
      </c>
      <c r="E3" s="42">
        <v>1E-3</v>
      </c>
      <c r="G3" s="51"/>
      <c r="H3" s="51"/>
      <c r="I3" s="33"/>
      <c r="J3" s="33"/>
      <c r="K3" s="33"/>
      <c r="L3" s="31"/>
      <c r="M3" s="31"/>
      <c r="N3" s="31"/>
      <c r="O3" s="31"/>
    </row>
    <row r="4" spans="1:15" ht="19" customHeight="1" x14ac:dyDescent="0.2">
      <c r="A4" s="41"/>
      <c r="B4" s="41"/>
      <c r="C4" s="41" t="s">
        <v>6</v>
      </c>
      <c r="D4" s="41">
        <v>4.4999999999999998E-2</v>
      </c>
      <c r="E4" s="42">
        <v>1E-3</v>
      </c>
      <c r="G4" s="51"/>
      <c r="H4" s="51"/>
      <c r="I4" s="33"/>
      <c r="J4" s="33"/>
      <c r="K4" s="33"/>
      <c r="L4" s="31"/>
      <c r="M4" s="31"/>
      <c r="N4" s="31"/>
      <c r="O4" s="31"/>
    </row>
    <row r="5" spans="1:15" ht="19" customHeight="1" x14ac:dyDescent="0.2">
      <c r="A5" s="41"/>
      <c r="B5" s="41"/>
      <c r="C5" s="41" t="s">
        <v>599</v>
      </c>
      <c r="D5" s="41">
        <v>2.9000000000000001E-2</v>
      </c>
      <c r="E5" s="42">
        <v>1E-3</v>
      </c>
      <c r="G5" s="51"/>
      <c r="H5" s="51"/>
      <c r="I5" s="33"/>
      <c r="J5" s="33"/>
      <c r="K5" s="33"/>
      <c r="L5" s="31"/>
      <c r="M5" s="31"/>
      <c r="N5" s="31"/>
      <c r="O5" s="31"/>
    </row>
    <row r="6" spans="1:15" ht="19" customHeight="1" x14ac:dyDescent="0.2">
      <c r="A6" s="56"/>
      <c r="B6" s="56"/>
      <c r="C6" s="56" t="s">
        <v>600</v>
      </c>
      <c r="D6" s="56">
        <v>0.69</v>
      </c>
      <c r="E6" s="57">
        <v>1E-4</v>
      </c>
      <c r="G6" s="51"/>
      <c r="H6" s="51"/>
      <c r="I6" s="33"/>
      <c r="J6" s="33"/>
      <c r="K6" s="33"/>
      <c r="L6" s="31"/>
      <c r="M6" s="31"/>
      <c r="N6" s="31"/>
      <c r="O6" s="31"/>
    </row>
    <row r="7" spans="1:15" ht="19" customHeight="1" x14ac:dyDescent="0.2">
      <c r="A7" s="54" t="s">
        <v>0</v>
      </c>
      <c r="B7" s="54" t="s">
        <v>601</v>
      </c>
      <c r="C7" s="54" t="s">
        <v>606</v>
      </c>
      <c r="D7" s="54">
        <v>9.1999999999999998E-2</v>
      </c>
      <c r="E7" s="55">
        <v>1E-3</v>
      </c>
      <c r="G7" s="51"/>
      <c r="H7" s="51"/>
      <c r="I7" s="53"/>
    </row>
    <row r="8" spans="1:15" ht="19" customHeight="1" x14ac:dyDescent="0.2">
      <c r="A8" s="41"/>
      <c r="B8" s="41"/>
      <c r="C8" s="41" t="s">
        <v>598</v>
      </c>
      <c r="D8" s="41">
        <v>4.2000000000000003E-2</v>
      </c>
      <c r="E8" s="42">
        <v>1E-3</v>
      </c>
      <c r="G8" s="51"/>
      <c r="H8" s="51"/>
    </row>
    <row r="9" spans="1:15" ht="19" customHeight="1" x14ac:dyDescent="0.2">
      <c r="A9" s="41"/>
      <c r="B9" s="41"/>
      <c r="C9" s="41" t="s">
        <v>6</v>
      </c>
      <c r="D9" s="41">
        <v>8.9999999999999993E-3</v>
      </c>
      <c r="E9" s="42">
        <v>2E-3</v>
      </c>
      <c r="G9" s="51"/>
      <c r="H9" s="51"/>
    </row>
    <row r="10" spans="1:15" ht="19" customHeight="1" x14ac:dyDescent="0.2">
      <c r="A10" s="41"/>
      <c r="B10" s="41"/>
      <c r="C10" s="41" t="s">
        <v>599</v>
      </c>
      <c r="D10" s="41">
        <v>1.7000000000000001E-2</v>
      </c>
      <c r="E10" s="42">
        <v>1E-3</v>
      </c>
      <c r="G10" s="51"/>
      <c r="H10" s="51"/>
    </row>
    <row r="11" spans="1:15" ht="19" customHeight="1" x14ac:dyDescent="0.2">
      <c r="A11" s="56"/>
      <c r="B11" s="56"/>
      <c r="C11" s="56" t="s">
        <v>600</v>
      </c>
      <c r="D11" s="56">
        <v>0.83</v>
      </c>
      <c r="E11" s="57">
        <v>1.0000000000000001E-5</v>
      </c>
      <c r="G11" s="51"/>
      <c r="H11" s="51"/>
    </row>
    <row r="12" spans="1:15" ht="19" customHeight="1" x14ac:dyDescent="0.2">
      <c r="A12" s="58" t="s">
        <v>602</v>
      </c>
      <c r="B12" s="58" t="s">
        <v>379</v>
      </c>
      <c r="C12" s="58" t="s">
        <v>606</v>
      </c>
      <c r="D12" s="58">
        <v>4.3999999999999997E-2</v>
      </c>
      <c r="E12" s="59">
        <v>2.7000000000000001E-3</v>
      </c>
      <c r="G12" s="51"/>
      <c r="H12" s="51"/>
    </row>
    <row r="13" spans="1:15" ht="19" customHeight="1" x14ac:dyDescent="0.2">
      <c r="A13" s="43"/>
      <c r="B13" s="43"/>
      <c r="C13" s="43" t="s">
        <v>598</v>
      </c>
      <c r="D13" s="43">
        <v>9.0999999999999998E-2</v>
      </c>
      <c r="E13" s="44">
        <v>4.1999999999999997E-3</v>
      </c>
      <c r="G13" s="51"/>
      <c r="H13" s="51"/>
      <c r="I13" s="53"/>
    </row>
    <row r="14" spans="1:15" ht="19" customHeight="1" x14ac:dyDescent="0.2">
      <c r="A14" s="43"/>
      <c r="B14" s="43"/>
      <c r="C14" s="43" t="s">
        <v>6</v>
      </c>
      <c r="D14" s="43">
        <v>3.4000000000000002E-2</v>
      </c>
      <c r="E14" s="44">
        <v>0.04</v>
      </c>
      <c r="G14" s="51"/>
      <c r="H14" s="51"/>
    </row>
    <row r="15" spans="1:15" ht="19" customHeight="1" x14ac:dyDescent="0.2">
      <c r="A15" s="43"/>
      <c r="B15" s="43"/>
      <c r="C15" s="43" t="s">
        <v>599</v>
      </c>
      <c r="D15" s="43">
        <v>5.6000000000000001E-2</v>
      </c>
      <c r="E15" s="44">
        <v>1.2999999999999999E-2</v>
      </c>
      <c r="G15" s="51"/>
      <c r="H15" s="51"/>
    </row>
    <row r="16" spans="1:15" ht="19" customHeight="1" x14ac:dyDescent="0.2">
      <c r="A16" s="62"/>
      <c r="B16" s="62"/>
      <c r="C16" s="62" t="s">
        <v>600</v>
      </c>
      <c r="D16" s="62">
        <v>0.79</v>
      </c>
      <c r="E16" s="63">
        <v>9.9999999999999995E-7</v>
      </c>
      <c r="G16" s="51"/>
      <c r="H16" s="51"/>
    </row>
    <row r="17" spans="1:8" ht="19" customHeight="1" x14ac:dyDescent="0.2">
      <c r="A17" s="60" t="s">
        <v>603</v>
      </c>
      <c r="B17" s="60" t="s">
        <v>597</v>
      </c>
      <c r="C17" s="60" t="s">
        <v>606</v>
      </c>
      <c r="D17" s="60">
        <v>9.5000000000000001E-2</v>
      </c>
      <c r="E17" s="61">
        <v>1E-3</v>
      </c>
      <c r="G17" s="51"/>
      <c r="H17" s="51"/>
    </row>
    <row r="18" spans="1:8" ht="19" customHeight="1" x14ac:dyDescent="0.2">
      <c r="A18" s="45"/>
      <c r="B18" s="45"/>
      <c r="C18" s="45" t="s">
        <v>598</v>
      </c>
      <c r="D18" s="45">
        <v>0.13600000000000001</v>
      </c>
      <c r="E18" s="46">
        <v>1E-3</v>
      </c>
      <c r="G18" s="51"/>
      <c r="H18" s="51"/>
    </row>
    <row r="19" spans="1:8" ht="19" customHeight="1" x14ac:dyDescent="0.2">
      <c r="A19" s="45"/>
      <c r="B19" s="45"/>
      <c r="C19" s="45" t="s">
        <v>6</v>
      </c>
      <c r="D19" s="45">
        <v>1.6E-2</v>
      </c>
      <c r="E19" s="46">
        <v>1E-3</v>
      </c>
      <c r="G19" s="51"/>
      <c r="H19" s="51"/>
    </row>
    <row r="20" spans="1:8" ht="19" customHeight="1" x14ac:dyDescent="0.2">
      <c r="A20" s="45"/>
      <c r="B20" s="45"/>
      <c r="C20" s="45" t="s">
        <v>599</v>
      </c>
      <c r="D20" s="45">
        <v>3.3000000000000002E-2</v>
      </c>
      <c r="E20" s="46">
        <v>1E-3</v>
      </c>
      <c r="G20" s="51"/>
      <c r="H20" s="51"/>
    </row>
    <row r="21" spans="1:8" ht="19" customHeight="1" x14ac:dyDescent="0.2">
      <c r="A21" s="64"/>
      <c r="B21" s="64"/>
      <c r="C21" s="64" t="s">
        <v>600</v>
      </c>
      <c r="D21" s="64">
        <v>0.69</v>
      </c>
      <c r="E21" s="65">
        <v>1.0000000000000001E-5</v>
      </c>
      <c r="G21" s="51"/>
      <c r="H21" s="51"/>
    </row>
    <row r="22" spans="1:8" ht="19" customHeight="1" x14ac:dyDescent="0.2">
      <c r="A22" s="60" t="s">
        <v>603</v>
      </c>
      <c r="B22" s="60" t="s">
        <v>601</v>
      </c>
      <c r="C22" s="60" t="s">
        <v>606</v>
      </c>
      <c r="D22" s="60">
        <v>0.08</v>
      </c>
      <c r="E22" s="61">
        <v>1E-3</v>
      </c>
      <c r="G22" s="51"/>
      <c r="H22" s="51"/>
    </row>
    <row r="23" spans="1:8" ht="19" customHeight="1" x14ac:dyDescent="0.2">
      <c r="A23" s="45"/>
      <c r="B23" s="45"/>
      <c r="C23" s="45" t="s">
        <v>598</v>
      </c>
      <c r="D23" s="45">
        <v>9.8000000000000004E-2</v>
      </c>
      <c r="E23" s="46">
        <v>1E-3</v>
      </c>
      <c r="G23" s="51"/>
      <c r="H23" s="51"/>
    </row>
    <row r="24" spans="1:8" ht="19" customHeight="1" x14ac:dyDescent="0.2">
      <c r="A24" s="45"/>
      <c r="B24" s="45"/>
      <c r="C24" s="45" t="s">
        <v>6</v>
      </c>
      <c r="D24" s="45">
        <v>1.6E-2</v>
      </c>
      <c r="E24" s="46">
        <v>1E-3</v>
      </c>
      <c r="G24" s="51"/>
      <c r="H24" s="51"/>
    </row>
    <row r="25" spans="1:8" ht="19" customHeight="1" x14ac:dyDescent="0.2">
      <c r="A25" s="45"/>
      <c r="B25" s="45"/>
      <c r="C25" s="45" t="s">
        <v>599</v>
      </c>
      <c r="D25" s="45">
        <v>2.7E-2</v>
      </c>
      <c r="E25" s="46">
        <v>1E-3</v>
      </c>
      <c r="G25" s="51"/>
      <c r="H25" s="51"/>
    </row>
    <row r="26" spans="1:8" ht="19" customHeight="1" x14ac:dyDescent="0.2">
      <c r="A26" s="64"/>
      <c r="B26" s="64"/>
      <c r="C26" s="64" t="s">
        <v>600</v>
      </c>
      <c r="D26" s="64">
        <v>0.76</v>
      </c>
      <c r="E26" s="65">
        <v>1.0000000000000001E-5</v>
      </c>
      <c r="G26" s="51"/>
      <c r="H26" s="51"/>
    </row>
    <row r="27" spans="1:8" ht="19" customHeight="1" x14ac:dyDescent="0.2">
      <c r="A27" s="51"/>
      <c r="G27" s="51"/>
      <c r="H27" s="51"/>
    </row>
    <row r="28" spans="1:8" ht="19" customHeight="1" x14ac:dyDescent="0.2">
      <c r="A28" s="51"/>
      <c r="G28" s="51"/>
      <c r="H28" s="51"/>
    </row>
    <row r="29" spans="1:8" ht="19" customHeight="1" x14ac:dyDescent="0.2">
      <c r="A29" s="51"/>
      <c r="B29" s="51"/>
      <c r="C29" s="51"/>
      <c r="D29" s="51"/>
      <c r="E29" s="52"/>
      <c r="F29" s="51"/>
      <c r="G29" s="51"/>
      <c r="H29" s="51"/>
    </row>
    <row r="30" spans="1:8" ht="19" customHeight="1" x14ac:dyDescent="0.2">
      <c r="A30" s="48"/>
      <c r="B30" s="48"/>
      <c r="C30" s="48"/>
      <c r="D30" s="48"/>
      <c r="E30" s="49"/>
      <c r="F30" s="51"/>
      <c r="G30" s="51"/>
      <c r="H30" s="5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8025-AB0B-7244-8BE5-DC07B74C6756}">
  <dimension ref="A1:D6"/>
  <sheetViews>
    <sheetView zoomScale="163" workbookViewId="0">
      <selection activeCell="C1" sqref="C1"/>
    </sheetView>
  </sheetViews>
  <sheetFormatPr baseColWidth="10" defaultRowHeight="16" x14ac:dyDescent="0.2"/>
  <sheetData>
    <row r="1" spans="1:4" x14ac:dyDescent="0.2">
      <c r="A1" s="15" t="s">
        <v>594</v>
      </c>
      <c r="B1" s="15" t="s">
        <v>595</v>
      </c>
      <c r="C1" s="15" t="s">
        <v>615</v>
      </c>
      <c r="D1" s="15" t="s">
        <v>300</v>
      </c>
    </row>
    <row r="2" spans="1:4" x14ac:dyDescent="0.2">
      <c r="A2" s="36" t="s">
        <v>0</v>
      </c>
      <c r="B2" s="36" t="s">
        <v>597</v>
      </c>
      <c r="C2" s="36">
        <v>-1.4E-2</v>
      </c>
      <c r="D2" s="36">
        <v>0.58599999999999997</v>
      </c>
    </row>
    <row r="3" spans="1:4" x14ac:dyDescent="0.2">
      <c r="A3" s="36" t="s">
        <v>0</v>
      </c>
      <c r="B3" s="36" t="s">
        <v>601</v>
      </c>
      <c r="C3" s="36">
        <v>-9.7000000000000003E-3</v>
      </c>
      <c r="D3" s="36">
        <v>0.54600000000000004</v>
      </c>
    </row>
    <row r="4" spans="1:4" x14ac:dyDescent="0.2">
      <c r="A4" s="22" t="s">
        <v>604</v>
      </c>
      <c r="B4" s="22" t="s">
        <v>379</v>
      </c>
      <c r="C4" s="22">
        <v>2.9000000000000001E-2</v>
      </c>
      <c r="D4" s="22">
        <v>0.312</v>
      </c>
    </row>
    <row r="5" spans="1:4" x14ac:dyDescent="0.2">
      <c r="A5" s="37" t="s">
        <v>605</v>
      </c>
      <c r="B5" s="37" t="s">
        <v>597</v>
      </c>
      <c r="C5" s="37">
        <v>6.2E-2</v>
      </c>
      <c r="D5" s="37">
        <v>0.23</v>
      </c>
    </row>
    <row r="6" spans="1:4" x14ac:dyDescent="0.2">
      <c r="A6" s="37" t="s">
        <v>605</v>
      </c>
      <c r="B6" s="37" t="s">
        <v>601</v>
      </c>
      <c r="C6" s="37">
        <v>0.15</v>
      </c>
      <c r="D6" s="37">
        <v>3.3000000000000002E-2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8607-74FA-ED4B-B7C4-26F8919455FE}">
  <dimension ref="A1:I6"/>
  <sheetViews>
    <sheetView workbookViewId="0">
      <selection activeCell="E6" sqref="E6"/>
    </sheetView>
  </sheetViews>
  <sheetFormatPr baseColWidth="10" defaultRowHeight="16" x14ac:dyDescent="0.2"/>
  <sheetData>
    <row r="1" spans="1:9" x14ac:dyDescent="0.2">
      <c r="A1" s="38" t="s">
        <v>614</v>
      </c>
      <c r="B1" s="15" t="s">
        <v>612</v>
      </c>
      <c r="C1" s="15" t="s">
        <v>600</v>
      </c>
      <c r="D1" s="15" t="s">
        <v>613</v>
      </c>
      <c r="E1" s="15"/>
      <c r="F1" s="31"/>
      <c r="G1" s="31"/>
      <c r="H1" s="31"/>
      <c r="I1" s="31"/>
    </row>
    <row r="2" spans="1:9" x14ac:dyDescent="0.2">
      <c r="A2" s="15" t="s">
        <v>607</v>
      </c>
      <c r="B2" s="15">
        <v>3.9E-2</v>
      </c>
      <c r="C2" s="15">
        <v>0.65</v>
      </c>
      <c r="D2" s="15">
        <v>1E-4</v>
      </c>
      <c r="E2" s="15"/>
      <c r="F2" s="31"/>
      <c r="G2" s="31"/>
      <c r="H2" s="31"/>
      <c r="I2" s="31"/>
    </row>
    <row r="3" spans="1:9" x14ac:dyDescent="0.2">
      <c r="A3" s="15" t="s">
        <v>608</v>
      </c>
      <c r="B3" s="15">
        <v>2.5000000000000001E-2</v>
      </c>
      <c r="C3" s="15">
        <v>0.8</v>
      </c>
      <c r="D3" s="15">
        <v>2.3999999999999998E-3</v>
      </c>
      <c r="E3" s="15"/>
      <c r="F3" s="31"/>
      <c r="G3" s="31"/>
      <c r="H3" s="31"/>
      <c r="I3" s="31"/>
    </row>
    <row r="4" spans="1:9" x14ac:dyDescent="0.2">
      <c r="A4" s="15" t="s">
        <v>609</v>
      </c>
      <c r="B4" s="15">
        <v>2.9000000000000001E-2</v>
      </c>
      <c r="C4" s="15">
        <v>0.76</v>
      </c>
      <c r="D4" s="15">
        <v>0.76</v>
      </c>
      <c r="E4" s="15"/>
      <c r="F4" s="31"/>
      <c r="G4" s="31"/>
      <c r="H4" s="31"/>
      <c r="I4" s="31"/>
    </row>
    <row r="5" spans="1:9" x14ac:dyDescent="0.2">
      <c r="A5" s="15" t="s">
        <v>610</v>
      </c>
      <c r="B5" s="15">
        <v>6.8000000000000005E-2</v>
      </c>
      <c r="C5" s="15">
        <v>0.62</v>
      </c>
      <c r="D5" s="15">
        <v>1E-3</v>
      </c>
      <c r="E5" s="15"/>
      <c r="F5" s="31"/>
      <c r="G5" s="31"/>
      <c r="H5" s="31"/>
      <c r="I5" s="31"/>
    </row>
    <row r="6" spans="1:9" x14ac:dyDescent="0.2">
      <c r="A6" s="15" t="s">
        <v>611</v>
      </c>
      <c r="B6" s="15">
        <v>5.0999999999999997E-2</v>
      </c>
      <c r="C6" s="15">
        <v>0.71</v>
      </c>
      <c r="D6" s="15">
        <v>1E-3</v>
      </c>
      <c r="E6" s="15"/>
      <c r="F6" s="31"/>
      <c r="G6" s="31"/>
      <c r="H6" s="31"/>
      <c r="I6" s="3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E24A-AF75-BC41-ACFC-26A21A3ECB12}">
  <dimension ref="A1:H20"/>
  <sheetViews>
    <sheetView zoomScale="125" workbookViewId="0">
      <pane ySplit="1" topLeftCell="A2" activePane="bottomLeft" state="frozen"/>
      <selection pane="bottomLeft" activeCell="J12" sqref="J12"/>
    </sheetView>
  </sheetViews>
  <sheetFormatPr baseColWidth="10" defaultRowHeight="16" x14ac:dyDescent="0.2"/>
  <cols>
    <col min="1" max="1" width="17" bestFit="1" customWidth="1"/>
    <col min="2" max="2" width="34.83203125" bestFit="1" customWidth="1"/>
  </cols>
  <sheetData>
    <row r="1" spans="1:8" x14ac:dyDescent="0.2">
      <c r="A1" s="15" t="s">
        <v>296</v>
      </c>
      <c r="B1" s="15" t="s">
        <v>297</v>
      </c>
      <c r="C1" s="15" t="s">
        <v>322</v>
      </c>
      <c r="D1" s="15" t="s">
        <v>300</v>
      </c>
      <c r="E1" s="15" t="s">
        <v>298</v>
      </c>
      <c r="F1" s="15" t="s">
        <v>299</v>
      </c>
      <c r="G1" s="15" t="s">
        <v>301</v>
      </c>
      <c r="H1" s="15" t="s">
        <v>302</v>
      </c>
    </row>
    <row r="2" spans="1:8" x14ac:dyDescent="0.2">
      <c r="A2" t="s">
        <v>327</v>
      </c>
      <c r="B2" s="15" t="s">
        <v>304</v>
      </c>
      <c r="C2">
        <v>0.436</v>
      </c>
      <c r="D2" s="15">
        <v>0.66300000000000003</v>
      </c>
      <c r="E2" s="15">
        <v>0.97399999999999998</v>
      </c>
      <c r="F2" s="15" t="s">
        <v>320</v>
      </c>
      <c r="G2" s="15">
        <v>0.24</v>
      </c>
      <c r="H2" s="15" t="s">
        <v>306</v>
      </c>
    </row>
    <row r="3" spans="1:8" x14ac:dyDescent="0.2">
      <c r="B3" s="15" t="s">
        <v>310</v>
      </c>
      <c r="C3">
        <v>0.23400000000000001</v>
      </c>
      <c r="D3" s="15">
        <v>0.81499999999999995</v>
      </c>
      <c r="E3" s="15">
        <v>0.99099999999999999</v>
      </c>
      <c r="F3" s="15" t="s">
        <v>328</v>
      </c>
      <c r="G3" s="15">
        <v>0.11</v>
      </c>
      <c r="H3" s="15" t="s">
        <v>306</v>
      </c>
    </row>
    <row r="4" spans="1:8" x14ac:dyDescent="0.2">
      <c r="B4" s="15" t="s">
        <v>307</v>
      </c>
      <c r="C4">
        <v>0.39</v>
      </c>
      <c r="D4" s="15">
        <v>0.69599999999999995</v>
      </c>
      <c r="E4" s="15">
        <v>1.02</v>
      </c>
      <c r="F4" s="15" t="s">
        <v>329</v>
      </c>
      <c r="G4" s="15">
        <v>0.27</v>
      </c>
      <c r="H4" s="15" t="s">
        <v>306</v>
      </c>
    </row>
    <row r="5" spans="1:8" x14ac:dyDescent="0.2">
      <c r="B5" s="15" t="s">
        <v>305</v>
      </c>
      <c r="C5">
        <v>0.19400000000000001</v>
      </c>
      <c r="D5" s="15">
        <v>0.84599999999999997</v>
      </c>
      <c r="E5" s="15">
        <v>0.98799999999999999</v>
      </c>
      <c r="F5" s="15" t="s">
        <v>321</v>
      </c>
      <c r="G5" s="15">
        <v>0.09</v>
      </c>
      <c r="H5" s="15" t="s">
        <v>306</v>
      </c>
    </row>
    <row r="6" spans="1:8" x14ac:dyDescent="0.2">
      <c r="A6" t="s">
        <v>339</v>
      </c>
      <c r="B6" s="15" t="s">
        <v>340</v>
      </c>
      <c r="C6">
        <v>1.32</v>
      </c>
      <c r="D6" s="15">
        <v>0.188</v>
      </c>
      <c r="E6" s="15">
        <v>1.05</v>
      </c>
      <c r="F6" s="15" t="s">
        <v>341</v>
      </c>
      <c r="G6" s="15">
        <v>0.71</v>
      </c>
      <c r="H6" s="15" t="s">
        <v>303</v>
      </c>
    </row>
    <row r="7" spans="1:8" x14ac:dyDescent="0.2">
      <c r="B7" s="15" t="s">
        <v>307</v>
      </c>
      <c r="C7">
        <v>0.57999999999999996</v>
      </c>
      <c r="D7" s="15">
        <v>0.56200000000000006</v>
      </c>
      <c r="E7" s="15">
        <v>1.02</v>
      </c>
      <c r="F7" s="15" t="s">
        <v>342</v>
      </c>
      <c r="G7" s="15">
        <v>0.28999999999999998</v>
      </c>
      <c r="H7" s="15" t="s">
        <v>306</v>
      </c>
    </row>
    <row r="8" spans="1:8" x14ac:dyDescent="0.2">
      <c r="B8" s="15" t="s">
        <v>305</v>
      </c>
      <c r="C8">
        <v>0.318</v>
      </c>
      <c r="D8" s="15">
        <v>0.751</v>
      </c>
      <c r="E8" s="15">
        <v>0.99099999999999999</v>
      </c>
      <c r="F8" s="15" t="s">
        <v>343</v>
      </c>
      <c r="G8" s="15">
        <v>0.21</v>
      </c>
      <c r="H8" s="15" t="s">
        <v>306</v>
      </c>
    </row>
    <row r="9" spans="1:8" x14ac:dyDescent="0.2">
      <c r="A9" s="15" t="s">
        <v>312</v>
      </c>
      <c r="B9" s="15" t="s">
        <v>304</v>
      </c>
      <c r="C9" s="15">
        <v>2.56</v>
      </c>
      <c r="D9" s="15">
        <v>1.0999999999999999E-2</v>
      </c>
      <c r="E9" s="15">
        <v>0.68</v>
      </c>
      <c r="F9" s="15" t="s">
        <v>313</v>
      </c>
      <c r="G9" s="15">
        <v>1</v>
      </c>
      <c r="H9" s="15" t="s">
        <v>303</v>
      </c>
    </row>
    <row r="10" spans="1:8" x14ac:dyDescent="0.2">
      <c r="A10" s="15"/>
      <c r="B10" s="15" t="s">
        <v>311</v>
      </c>
      <c r="C10" s="15">
        <v>0.92800000000000005</v>
      </c>
      <c r="D10" s="15">
        <v>0.35399999999999998</v>
      </c>
      <c r="E10" s="15">
        <v>1.1599999999999999</v>
      </c>
      <c r="F10" s="15" t="s">
        <v>314</v>
      </c>
      <c r="G10" s="15">
        <v>0.6</v>
      </c>
      <c r="H10" s="15" t="s">
        <v>308</v>
      </c>
    </row>
    <row r="11" spans="1:8" x14ac:dyDescent="0.2">
      <c r="A11" s="15"/>
      <c r="B11" s="15" t="s">
        <v>309</v>
      </c>
      <c r="C11" s="15">
        <v>0.875</v>
      </c>
      <c r="D11" s="15">
        <v>0.38200000000000001</v>
      </c>
      <c r="E11" s="15">
        <v>1.1399999999999999</v>
      </c>
      <c r="F11" s="15" t="s">
        <v>315</v>
      </c>
      <c r="G11" s="15">
        <v>0.56999999999999995</v>
      </c>
      <c r="H11" s="15" t="s">
        <v>308</v>
      </c>
    </row>
    <row r="12" spans="1:8" x14ac:dyDescent="0.2">
      <c r="A12" s="15" t="s">
        <v>316</v>
      </c>
      <c r="B12" s="15" t="s">
        <v>304</v>
      </c>
      <c r="C12" s="15">
        <v>2.3199999999999998</v>
      </c>
      <c r="D12" s="15">
        <v>2.1000000000000001E-2</v>
      </c>
      <c r="E12" s="15">
        <v>0.78</v>
      </c>
      <c r="F12" s="15" t="s">
        <v>317</v>
      </c>
      <c r="G12" s="15">
        <v>1</v>
      </c>
      <c r="H12" s="15" t="s">
        <v>303</v>
      </c>
    </row>
    <row r="13" spans="1:8" x14ac:dyDescent="0.2">
      <c r="A13" s="15"/>
      <c r="B13" s="15" t="s">
        <v>311</v>
      </c>
      <c r="C13" s="15">
        <v>0.40799999999999997</v>
      </c>
      <c r="D13" s="15">
        <v>0.68300000000000005</v>
      </c>
      <c r="E13" s="15">
        <v>1.03</v>
      </c>
      <c r="F13" s="15" t="s">
        <v>318</v>
      </c>
      <c r="G13" s="15">
        <v>0.24</v>
      </c>
      <c r="H13" s="15" t="s">
        <v>306</v>
      </c>
    </row>
    <row r="14" spans="1:8" x14ac:dyDescent="0.2">
      <c r="A14" s="15"/>
      <c r="B14" s="15" t="s">
        <v>309</v>
      </c>
      <c r="C14" s="15">
        <v>0.33</v>
      </c>
      <c r="D14" s="15">
        <v>0.74199999999999999</v>
      </c>
      <c r="E14" s="15">
        <v>1.02</v>
      </c>
      <c r="F14" s="15" t="s">
        <v>319</v>
      </c>
      <c r="G14" s="15">
        <v>0.2</v>
      </c>
      <c r="H14" s="15" t="s">
        <v>306</v>
      </c>
    </row>
    <row r="15" spans="1:8" x14ac:dyDescent="0.2">
      <c r="A15" t="s">
        <v>330</v>
      </c>
      <c r="B15" s="15" t="s">
        <v>331</v>
      </c>
      <c r="C15">
        <v>2.5</v>
      </c>
      <c r="D15" s="15">
        <v>1.2999999999999999E-2</v>
      </c>
      <c r="E15" s="15">
        <v>1.1399999999999999</v>
      </c>
      <c r="F15" s="15" t="s">
        <v>332</v>
      </c>
      <c r="G15" s="15">
        <v>1</v>
      </c>
      <c r="H15" s="15" t="s">
        <v>303</v>
      </c>
    </row>
    <row r="16" spans="1:8" x14ac:dyDescent="0.2">
      <c r="B16" s="15" t="s">
        <v>309</v>
      </c>
      <c r="C16">
        <v>0.63700000000000001</v>
      </c>
      <c r="D16" s="15">
        <v>0.52400000000000002</v>
      </c>
      <c r="E16" s="15">
        <v>1.04</v>
      </c>
      <c r="F16" s="15" t="s">
        <v>333</v>
      </c>
      <c r="G16" s="15">
        <v>0.38</v>
      </c>
      <c r="H16" s="15" t="s">
        <v>306</v>
      </c>
    </row>
    <row r="17" spans="1:8" x14ac:dyDescent="0.2">
      <c r="B17" s="15" t="s">
        <v>307</v>
      </c>
      <c r="C17">
        <v>0.61199999999999999</v>
      </c>
      <c r="D17" s="15">
        <v>0.54100000000000004</v>
      </c>
      <c r="E17" s="15">
        <v>1.03</v>
      </c>
      <c r="F17" s="15" t="s">
        <v>334</v>
      </c>
      <c r="G17" s="15">
        <v>0.36</v>
      </c>
      <c r="H17" s="15" t="s">
        <v>306</v>
      </c>
    </row>
    <row r="18" spans="1:8" x14ac:dyDescent="0.2">
      <c r="A18" t="s">
        <v>338</v>
      </c>
      <c r="B18" s="15" t="s">
        <v>307</v>
      </c>
      <c r="C18">
        <v>1.0900000000000001</v>
      </c>
      <c r="D18" s="15">
        <v>0.27700000000000002</v>
      </c>
      <c r="E18" s="15">
        <v>1.04</v>
      </c>
      <c r="F18" s="15" t="s">
        <v>335</v>
      </c>
      <c r="G18" s="15">
        <v>0.67</v>
      </c>
      <c r="H18" s="15" t="s">
        <v>308</v>
      </c>
    </row>
    <row r="19" spans="1:8" x14ac:dyDescent="0.2">
      <c r="B19" s="15" t="s">
        <v>311</v>
      </c>
      <c r="C19">
        <v>0.51800000000000002</v>
      </c>
      <c r="D19" s="15">
        <v>0.60399999999999998</v>
      </c>
      <c r="E19" s="15">
        <v>0.98599999999999999</v>
      </c>
      <c r="F19" s="15" t="s">
        <v>336</v>
      </c>
      <c r="G19" s="15">
        <v>0.34</v>
      </c>
      <c r="H19" s="15" t="s">
        <v>306</v>
      </c>
    </row>
    <row r="20" spans="1:8" x14ac:dyDescent="0.2">
      <c r="B20" s="15" t="s">
        <v>309</v>
      </c>
      <c r="C20">
        <v>0.36099999999999999</v>
      </c>
      <c r="D20" s="15">
        <v>0.71799999999999997</v>
      </c>
      <c r="E20" s="15">
        <v>1.01</v>
      </c>
      <c r="F20" s="15" t="s">
        <v>337</v>
      </c>
      <c r="G20" s="15">
        <v>0.16</v>
      </c>
      <c r="H20" s="15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MasterPitfall</vt:lpstr>
      <vt:lpstr>MasterHedge</vt:lpstr>
      <vt:lpstr>PitfallOrders</vt:lpstr>
      <vt:lpstr>PitfallFamilies</vt:lpstr>
      <vt:lpstr>HedgeOrders</vt:lpstr>
      <vt:lpstr>HedgeFamilies</vt:lpstr>
      <vt:lpstr>Carabids</vt:lpstr>
      <vt:lpstr>PitfallCharacteristicsModels</vt:lpstr>
      <vt:lpstr>HedgeCharacteristicsModels</vt:lpstr>
      <vt:lpstr>CarabidsConducive</vt:lpstr>
      <vt:lpstr>HabitatCharacteristics</vt:lpstr>
      <vt:lpstr>FloralSurveys</vt:lpstr>
      <vt:lpstr>ShrubData</vt:lpstr>
      <vt:lpstr>Hedgerows</vt:lpstr>
      <vt:lpstr>PitfallCoordinates</vt:lpstr>
      <vt:lpstr>PERMANOVA</vt:lpstr>
      <vt:lpstr>Mantel</vt:lpstr>
      <vt:lpstr>Interaction</vt:lpstr>
      <vt:lpstr>EffectsTable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Withers</dc:creator>
  <cp:lastModifiedBy>William Withers</cp:lastModifiedBy>
  <dcterms:created xsi:type="dcterms:W3CDTF">2026-04-30T12:38:55Z</dcterms:created>
  <dcterms:modified xsi:type="dcterms:W3CDTF">2026-05-13T10:55:24Z</dcterms:modified>
</cp:coreProperties>
</file>